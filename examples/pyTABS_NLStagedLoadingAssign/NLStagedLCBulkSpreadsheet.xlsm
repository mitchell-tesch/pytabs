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pytabs\examples\pyTABS_NLStagedLoadingAssign\"/>
    </mc:Choice>
  </mc:AlternateContent>
  <xr:revisionPtr revIDLastSave="0" documentId="13_ncr:1_{FF50DDAF-E4A7-4168-B277-2334C6EFFD5E}" xr6:coauthVersionLast="47" xr6:coauthVersionMax="47" xr10:uidLastSave="{00000000-0000-0000-0000-000000000000}"/>
  <bookViews>
    <workbookView xWindow="-110" yWindow="10690" windowWidth="19420" windowHeight="10300" xr2:uid="{2E6C8D44-22CE-4E35-8DEB-B1F975846751}"/>
  </bookViews>
  <sheets>
    <sheet name="Main" sheetId="3" r:id="rId1"/>
    <sheet name="Lists" sheetId="4" r:id="rId2"/>
    <sheet name="xlwings.conf" sheetId="2" r:id="rId3"/>
  </sheets>
  <functionGroups builtInGroupCount="19"/>
  <externalReferences>
    <externalReference r:id="rId4"/>
    <externalReference r:id="rId5"/>
    <externalReference r:id="rId6"/>
  </externalReferences>
  <definedNames>
    <definedName name="A0">[1]Main!$W$273</definedName>
    <definedName name="A0h">[1]Main!$W$272</definedName>
    <definedName name="Aceff_sls_x">[1]Main!$W$442</definedName>
    <definedName name="Aceff_sls_y">[1]Main!$W$496</definedName>
    <definedName name="Acp">[1]Main!$W$275</definedName>
    <definedName name="Act_x">[1]Main!$W$335</definedName>
    <definedName name="Act_y">[1]Main!$W$296</definedName>
    <definedName name="Ag">[1]Main!$W$146</definedName>
    <definedName name="alpha_1">[1]Main!$W$163</definedName>
    <definedName name="alpha_2">[1]Main!$W$164</definedName>
    <definedName name="alpha_c_x">[1]Main!$W$189</definedName>
    <definedName name="alpha_c_y">[1]Main!$W$226</definedName>
    <definedName name="alpha_n">[1]Main!$W$243</definedName>
    <definedName name="alpha_v_x">[1]Main!$AN$83</definedName>
    <definedName name="alpha_v_y">[1]Main!$AN$82</definedName>
    <definedName name="alpha1_shrink">[1]Main!$W$373</definedName>
    <definedName name="alpha2_creep">[1]Main!$W$379</definedName>
    <definedName name="alpha3_creep">[1]Main!$W$382</definedName>
    <definedName name="Ap_sls_x">[1]Main!$W$441</definedName>
    <definedName name="Ap_sls_y">[1]Main!$W$495</definedName>
    <definedName name="Aps">[1]Main!$U$38</definedName>
    <definedName name="Apt_x">[1]Main!$W$334</definedName>
    <definedName name="Apt_y">[1]Main!$W$295</definedName>
    <definedName name="AptSigmapu_x">[1]Main!$W$362</definedName>
    <definedName name="AptSigmapu_y">[1]Main!$W$323</definedName>
    <definedName name="As_cl">[1]Main!$V$81</definedName>
    <definedName name="As_ol_x">[1]Main!$V$83</definedName>
    <definedName name="As_ol_y">[1]Main!$V$82</definedName>
    <definedName name="As_sls_x">[1]Main!$W$440</definedName>
    <definedName name="As_sls_y">[1]Main!$W$494</definedName>
    <definedName name="Asc_x">[1]Main!$W$366</definedName>
    <definedName name="Asc_y">[1]Main!$W$327</definedName>
    <definedName name="Ast_min_x">[1]Main!$W$171</definedName>
    <definedName name="Ast_min_y">[1]Main!$W$208</definedName>
    <definedName name="Ast_x">[1]Main!$W$333</definedName>
    <definedName name="Ast_y">[1]Main!$W$294</definedName>
    <definedName name="Asv_min_x">[1]Main!$W$341</definedName>
    <definedName name="Asv_min_y">[1]Main!$W$302</definedName>
    <definedName name="Asv_x">[1]Main!$W$340</definedName>
    <definedName name="Asv_y">[1]Main!$W$301</definedName>
    <definedName name="Asw">[1]Main!$W$285</definedName>
    <definedName name="Asw_min">[1]Main!$W$286</definedName>
    <definedName name="Beta_d">[1]Main!$R$127</definedName>
    <definedName name="beta_d_x_eff">[1]Main!$W$192</definedName>
    <definedName name="beta_d_y_eff">[1]Main!$W$229</definedName>
    <definedName name="biaxial_req">[1]Main!$W$242</definedName>
    <definedName name="biaxial_util">[1]Main!$W$244</definedName>
    <definedName name="braced_unbraced_x">[1]Main!$U$17</definedName>
    <definedName name="braced_unbraced_y">[1]Main!$U$22</definedName>
    <definedName name="bv_x">[1]Main!$W$331</definedName>
    <definedName name="bv_y">[1]Main!$W$292</definedName>
    <definedName name="c_bot">[1]Main!$U$10</definedName>
    <definedName name="c_dur">[1]Main!$U$12</definedName>
    <definedName name="c_side">[1]Main!$U$11</definedName>
    <definedName name="c_top">[1]Main!$U$9</definedName>
    <definedName name="CalcLLR">'[2]Constants and Controls'!$B$11</definedName>
    <definedName name="closely_spaced_x?">[1]Main!$W$448</definedName>
    <definedName name="closely_spaced_y?">[1]Main!$W$502</definedName>
    <definedName name="Column_class_major">[1]Main!$W$190</definedName>
    <definedName name="Column_class_minor">[1]Main!$W$227</definedName>
    <definedName name="conc_mix">[1]Main!$U$25</definedName>
    <definedName name="ConcDensity">'[2]Constants and Controls'!$B$12</definedName>
    <definedName name="D_depth">[1]Main!$U$7</definedName>
    <definedName name="d_major">[1]RSB_MajorAxis!$B$5</definedName>
    <definedName name="d_minor">[1]RSB_MinorAxis!$B$5</definedName>
    <definedName name="d_o_major">[1]RSB_MajorAxis!$B$4</definedName>
    <definedName name="d_o_minor">[1]RSB_MinorAxis!$B$4</definedName>
    <definedName name="d_om_x">[1]Main!$W$172</definedName>
    <definedName name="d_om_y">[1]Main!$W$209</definedName>
    <definedName name="d_x">[1]Main!$W$173</definedName>
    <definedName name="d_y">[1]Main!$W$210</definedName>
    <definedName name="ddx">[1]Main!$S$99</definedName>
    <definedName name="ddy">[1]Main!$S$114</definedName>
    <definedName name="delta_b_x">[1]Main!$W$195</definedName>
    <definedName name="delta_b_x_sls">[1]Main!$W$402</definedName>
    <definedName name="delta_b_y">[1]Main!$W$232</definedName>
    <definedName name="delta_b_y_sls">[1]Main!$W$456</definedName>
    <definedName name="Delta_Ftd_tor">[1]Main!$W$288</definedName>
    <definedName name="Delta_Ftd_v_x">[1]Main!$W$354</definedName>
    <definedName name="Delta_Ftd_v_y">[1]Main!$W$315</definedName>
    <definedName name="Delta_Ftd_x">[1]Main!$W$360</definedName>
    <definedName name="Delta_Ftd_y">[1]Main!$W$321</definedName>
    <definedName name="delta_s_x">[1]Main!$W$196</definedName>
    <definedName name="delta_s_x_sls">[1]Main!$W$403</definedName>
    <definedName name="delta_s_y">[1]Main!$W$233</definedName>
    <definedName name="delta_s_y_sls">[1]Main!$W$457</definedName>
    <definedName name="DesignGroups">'[2]Constants and Controls'!$M$3:$AG$130</definedName>
    <definedName name="dg">[1]Main!$U$29</definedName>
    <definedName name="DLLocation">'[2]Constants and Controls'!$B$47</definedName>
    <definedName name="dNA_sls_ps_x">[1]RSB_MajorAxis!$F$224</definedName>
    <definedName name="dNA_sls_ps_y">[1]RSB_MinorAxis!$F$224</definedName>
    <definedName name="dNA_sls_r_x">[1]RSB_MajorAxis!$N$224</definedName>
    <definedName name="dNA_sls_r_y">[1]RSB_MinorAxis!$N$224</definedName>
    <definedName name="dNA_sls_x">[1]Main!$W$408</definedName>
    <definedName name="dNA_sls_y">[1]Main!$W$462</definedName>
    <definedName name="dp_sls_x">[1]Main!$W$444</definedName>
    <definedName name="dp_sls_y">[1]Main!$W$498</definedName>
    <definedName name="dps">[1]Main!$U$37</definedName>
    <definedName name="ds_sls_x">[1]Main!$W$443</definedName>
    <definedName name="ds_sls_y">[1]Main!$W$497</definedName>
    <definedName name="dv_x">[1]Main!$W$332</definedName>
    <definedName name="dv_y">[1]Main!$W$293</definedName>
    <definedName name="e_x_eff">[1]Main!$W$198</definedName>
    <definedName name="e_y_eff">[1]Main!$W$235</definedName>
    <definedName name="Ec">[1]Main!$U$27</definedName>
    <definedName name="Ec_eff">[1]Main!$W$388</definedName>
    <definedName name="Ecm">[1]Main!$W$385</definedName>
    <definedName name="el_ps_sigmat0_sls_x">[1]RSB_MajorAxis!$F$433</definedName>
    <definedName name="el_ps_sigmat0_sls_y">[1]RSB_MinorAxis!$F$433</definedName>
    <definedName name="el_ps_sigmat0_slsdec_x">[1]RSB_MajorAxis!$C$433</definedName>
    <definedName name="el_ps_sigmat0_slsdec_y">[1]RSB_MinorAxis!$C$433</definedName>
    <definedName name="el_ps_SoM_sls_x">[1]RSB_MajorAxis!$F$430</definedName>
    <definedName name="el_ps_SoM_sls_y">[1]RSB_MinorAxis!$F$430</definedName>
    <definedName name="el_ps_SoM_slsdec_x">[1]RSB_MajorAxis!$C$430</definedName>
    <definedName name="el_ps_SoM_slsdec_y">[1]RSB_MinorAxis!$C$430</definedName>
    <definedName name="environment">[1]Main!$S$46</definedName>
    <definedName name="Ep">[1]Main!$U$43</definedName>
    <definedName name="epsilon_1_ps_x">[1]RSB_MajorAxis!$F$459</definedName>
    <definedName name="epsilon_1_ps_y">[1]RSB_MinorAxis!$F$459</definedName>
    <definedName name="epsilon_1_r_x">[1]RSB_MajorAxis!$N$339</definedName>
    <definedName name="epsilon_1_r_y">[1]RSB_MinorAxis!$N$339</definedName>
    <definedName name="epsilon_1_x">[1]Main!$W$409</definedName>
    <definedName name="epsilon_1_y">[1]Main!$W$463</definedName>
    <definedName name="epsilon_2_ps_x">[1]RSB_MajorAxis!$F$460</definedName>
    <definedName name="epsilon_2_ps_y">[1]RSB_MinorAxis!$F$460</definedName>
    <definedName name="epsilon_2_r_x">[1]RSB_MajorAxis!$N$340</definedName>
    <definedName name="epsilon_2_r_y">[1]RSB_MinorAxis!$N$340</definedName>
    <definedName name="epsilon_2_x">[1]Main!$W$410</definedName>
    <definedName name="epsilon_2_y">[1]Main!$W$464</definedName>
    <definedName name="epsilon_c_max">[1]Main!$W$159</definedName>
    <definedName name="epsilon_csd">[1]Main!$W$376</definedName>
    <definedName name="epsilon_csd_b">[1]Main!$W$372</definedName>
    <definedName name="epsilon_csd_b_star">[1]Main!$U$47</definedName>
    <definedName name="epsilon_cse">[1]Main!$W$371</definedName>
    <definedName name="epsilon_pe">[1]Main!$W$162</definedName>
    <definedName name="epsilon_py">[1]Main!$W$161</definedName>
    <definedName name="epsilon_sm_cm_x">[1]Main!$W$451</definedName>
    <definedName name="epsilon_sm_cm_y">[1]Main!$W$505</definedName>
    <definedName name="epsilon_sy">[1]Main!$W$160</definedName>
    <definedName name="epsilon_x">[1]Main!$W$339</definedName>
    <definedName name="epsilon_y">[1]Main!$W$300</definedName>
    <definedName name="Es">[1]Main!$U$33</definedName>
    <definedName name="exposure_class">[1]Main!$U$48</definedName>
    <definedName name="f_ctm">[1]Main!$W$398</definedName>
    <definedName name="fcc">[1]Main!$U$26</definedName>
    <definedName name="fcc_tf">[1]Main!$W$166</definedName>
    <definedName name="Fcd_x">[1]Main!$W$365</definedName>
    <definedName name="Fcd_y">[1]Main!$W$326</definedName>
    <definedName name="fpb">[1]Main!$U$35</definedName>
    <definedName name="fpe">[1]Main!$U$42</definedName>
    <definedName name="fpy">[1]Main!$U$36</definedName>
    <definedName name="frame_avg_br_x">[1]Main!$U$16</definedName>
    <definedName name="frame_avg_br_y">[1]Main!$U$21</definedName>
    <definedName name="fsy">[1]Main!$U$31</definedName>
    <definedName name="fsy_l">[1]Main!$U$32</definedName>
    <definedName name="Ftd_x">[1]Main!$W$361</definedName>
    <definedName name="Ftd_y">[1]Main!$W$322</definedName>
    <definedName name="gamma">[1]Main!$W$165</definedName>
    <definedName name="gamma_p_x">[1]Main!$W$353</definedName>
    <definedName name="gamma_p_y">[1]Main!$W$314</definedName>
    <definedName name="hceff_x">[1]Main!$W$439</definedName>
    <definedName name="hceff_y">[1]Main!$W$493</definedName>
    <definedName name="Ig_x">[1]Main!$W$147</definedName>
    <definedName name="Ig_y">[1]Main!$W$148</definedName>
    <definedName name="InfluenceCells">[1]Main!$U$7:$X$12,[1]Main!$U$14:$X$23,[1]Main!$U$26:$X$44,[1]Main!$S$46,[1]Main!$U$47:$X$52,[1]Main!$S$53,[1]Main!$M$87:$O$96,[1]Main!$S$87:$U$96,[1]Main!$Y$87:$AB$96,[1]Main!$S$98,[1]Main!$M$102:$O$111,[1]Main!$S$102:$U$111,[1]Main!$Y$102:$AB$111,[1]Main!$S$113,[1]Main!$O$57:$R$66,[1]Main!$V$57:$Y$66,[1]Main!$AF$57:$AI$66,[1]Main!$O$69:$R$78,[1]Main!$V$69:$Y$78,[1]Main!$AF$69:$AI$78,[1]Main!$AD$81:$AG$83,[1]Main!$O$81:$R$83,[1]Main!$R$125:$U$132,[1]Main!$R$134:$U$137,[1]Main!$R$131,[1]Main!$AA$137,[1]Main!$AA$132,[1]Main!$R$141:$U$143</definedName>
    <definedName name="JobNumber">'[2]Constants and Controls'!$B$3</definedName>
    <definedName name="k1_shrink">[1]Main!$W$374</definedName>
    <definedName name="k1_srmax">[1]Main!$W$393</definedName>
    <definedName name="k2_creep">[1]Main!$W$380</definedName>
    <definedName name="k2_x">[1]Main!$W$438</definedName>
    <definedName name="k2_y">[1]Main!$W$492</definedName>
    <definedName name="k3_creep">[1]Main!$W$381</definedName>
    <definedName name="k3_srmax">[1]Main!$W$394</definedName>
    <definedName name="k4_shrink_creep">[1]Main!$W$375</definedName>
    <definedName name="k4_srmax">[1]Main!$W$395</definedName>
    <definedName name="k5_creep">[1]Main!$W$383</definedName>
    <definedName name="kd">[1]Main!$U$44</definedName>
    <definedName name="kdg_x">[1]Main!$W$342</definedName>
    <definedName name="kdg_y">[1]Main!$W$303</definedName>
    <definedName name="ke_x">[1]Main!$U$15</definedName>
    <definedName name="ke_y">[1]Main!$U$20</definedName>
    <definedName name="km_x">[1]Main!$W$194</definedName>
    <definedName name="km_y">[1]Main!$W$231</definedName>
    <definedName name="kt">[1]Main!$W$397</definedName>
    <definedName name="kv_x">[1]Main!$W$343</definedName>
    <definedName name="kv_y">[1]Main!$W$304</definedName>
    <definedName name="L_x">[1]Main!$U$14</definedName>
    <definedName name="L_y">[1]Main!$U$19</definedName>
    <definedName name="Le_x">[1]Main!$W$187</definedName>
    <definedName name="Le_y">[1]Main!$W$224</definedName>
    <definedName name="LevelsList">'[2]Constants and Controls'!$F$9:$F$80</definedName>
    <definedName name="LevelsTable">'[2]Constants and Controls'!$F$19:$H$138</definedName>
    <definedName name="load_reverse_x">[1]Main!$R$131</definedName>
    <definedName name="load_reverse_y">[1]Main!$R$136</definedName>
    <definedName name="LoadSummary">'[2]Constants and Controls'!$A$18:$B$128</definedName>
    <definedName name="LoadSummaryColumns">'[2]Constants and Controls'!$A$18:$A$128</definedName>
    <definedName name="location_tension_x">[1]Main!$W$168</definedName>
    <definedName name="location_tension_y">[1]Main!$W$205</definedName>
    <definedName name="Mdec_x">[1]Main!$W$413</definedName>
    <definedName name="Mdec_y">[1]Main!$W$467</definedName>
    <definedName name="Msls_x">[1]Main!$R$142</definedName>
    <definedName name="Msls_x_mag">[1]Main!$W$404</definedName>
    <definedName name="Msls_y">[1]Main!$R$143</definedName>
    <definedName name="Msls_y_mag">[1]Main!$W$458</definedName>
    <definedName name="Mstar_min_x">[1]Main!$R$133</definedName>
    <definedName name="Mstar_min_y">[1]Main!$R$138</definedName>
    <definedName name="Mstar_x">[1]Main!$W$175</definedName>
    <definedName name="Mstar_x_1">[1]Main!$R$132</definedName>
    <definedName name="Mstar_x_2">[1]Main!$AA$132</definedName>
    <definedName name="Mstar_x_input">[1]Main!$R$129</definedName>
    <definedName name="Mstar_x_mag">[1]Main!$W$197</definedName>
    <definedName name="Mstar_x_shear_y">[1]Main!$W$282</definedName>
    <definedName name="Mstar_y">[1]Main!$W$212</definedName>
    <definedName name="Mstar_y_1">[1]Main!$R$137</definedName>
    <definedName name="Mstar_y_2">[1]Main!$AA$137</definedName>
    <definedName name="Mstar_y_input">[1]Main!$R$134</definedName>
    <definedName name="Mstar_y_mag">[1]Main!$W$234</definedName>
    <definedName name="Mstar_y_shear_x">[1]Main!$W$283</definedName>
    <definedName name="Muo_min_x">[1]Main!$W$170</definedName>
    <definedName name="Muo_min_y">[1]Main!$W$207</definedName>
    <definedName name="n_s_st">[1]Main!$W$387</definedName>
    <definedName name="Nc_x">[1]Main!$W$193</definedName>
    <definedName name="Nc_y">[1]Main!$W$230</definedName>
    <definedName name="no_pu">[1]Main!$R$116</definedName>
    <definedName name="NRLLLocation">'[2]Constants and Controls'!$B$48</definedName>
    <definedName name="Nsls">[1]Main!$R$141</definedName>
    <definedName name="Nstar">[1]Main!$R$125</definedName>
    <definedName name="Nstar_min">[1]Main!$R$126</definedName>
    <definedName name="Nstar_shear">[1]Main!$W$281</definedName>
    <definedName name="percent_trans">[1]Main!$U$39</definedName>
    <definedName name="pf_AptSigmapu_x">[1]RSB_MajorAxis!$D$217</definedName>
    <definedName name="pf_AptSigmapu_y">[1]RSB_MinorAxis!$D$217</definedName>
    <definedName name="pf_Asc_x">[1]RSB_MajorAxis!$D$216</definedName>
    <definedName name="pf_Asc_y">[1]RSB_MinorAxis!$D$216</definedName>
    <definedName name="pf_Ast_x">[1]RSB_MajorAxis!$D$215</definedName>
    <definedName name="pf_Ast_y">[1]RSB_MinorAxis!$D$215</definedName>
    <definedName name="pf_dv_x">[1]RSB_MajorAxis!$D$214</definedName>
    <definedName name="pf_dv_y">[1]RSB_MinorAxis!$D$214</definedName>
    <definedName name="pf_ku_x">[1]RSB_MajorAxis!$D$8</definedName>
    <definedName name="pf_ku_y">[1]RSB_MinorAxis!$D$8</definedName>
    <definedName name="pf_Mu_x">[1]RSB_MajorAxis!$D$211</definedName>
    <definedName name="pf_Mu_y">[1]RSB_MinorAxis!$D$211</definedName>
    <definedName name="pf_Nu_x">[1]RSB_MajorAxis!$D$210</definedName>
    <definedName name="pf_Nu_y">[1]RSB_MinorAxis!$D$210</definedName>
    <definedName name="pf_phi_x">[1]RSB_MajorAxis!$D$12</definedName>
    <definedName name="pf_phi_y">[1]RSB_MinorAxis!$D$12</definedName>
    <definedName name="phi_cc">[1]Main!$W$384</definedName>
    <definedName name="phi_cc_basic">[1]Main!$U$28</definedName>
    <definedName name="phi_eq_x">[1]Main!$W$447</definedName>
    <definedName name="phi_eq_y">[1]Main!$W$501</definedName>
    <definedName name="phi_shear">[1]Main!$W$270</definedName>
    <definedName name="phi_shear_tor_long_x">[1]Main!$W$359</definedName>
    <definedName name="phi_shear_tor_long_y">[1]Main!$W$320</definedName>
    <definedName name="phi_torsion">[1]Main!$W$269</definedName>
    <definedName name="phiFc_x">[1]Main!$W$367</definedName>
    <definedName name="phiFc_y">[1]Main!$W$328</definedName>
    <definedName name="phiFt_x">[1]Main!$W$363</definedName>
    <definedName name="phiFt_y">[1]Main!$W$324</definedName>
    <definedName name="phiMu_major">[1]RSB_MajorAxis!$AE$37</definedName>
    <definedName name="phiMu_minor">[1]RSB_MinorAxis!$AE$37</definedName>
    <definedName name="phiMu_x_i">[1]Main!$W$202</definedName>
    <definedName name="phiMu_x_pf">[1]Main!$W$180</definedName>
    <definedName name="phiMu_y_i">[1]Main!$W$239</definedName>
    <definedName name="phiMu_y_pf">[1]Main!$W$217</definedName>
    <definedName name="phiMub_major">[1]RSB_MajorAxis!$O$213</definedName>
    <definedName name="phiMub_minor">[1]RSB_MinorAxis!$O$213</definedName>
    <definedName name="phiMub_x">[1]Main!$W$201</definedName>
    <definedName name="phiMub_y">[1]Main!$W$238</definedName>
    <definedName name="phiMud_major">[1]RSB_MajorAxis!$Z$213</definedName>
    <definedName name="phiMud_minor">[1]RSB_MinorAxis!$Z$213</definedName>
    <definedName name="phiNu_major">[1]RSB_MajorAxis!$AJ$64</definedName>
    <definedName name="phiNu_minor">[1]RSB_MinorAxis!$AJ$64</definedName>
    <definedName name="phiNu_x">[1]Main!$W$203</definedName>
    <definedName name="phiNu_y">[1]Main!$W$240</definedName>
    <definedName name="phiNub_major">[1]RSB_MajorAxis!$O$212</definedName>
    <definedName name="phiNub_minor">[1]RSB_MinorAxis!$O$212</definedName>
    <definedName name="phiNud_major">[1]RSB_MajorAxis!$Z$212</definedName>
    <definedName name="phiNud_minor">[1]RSB_MinorAxis!$Z$212</definedName>
    <definedName name="phiNuo_major">[1]RSB_MajorAxis!$AA$212</definedName>
    <definedName name="phiNuo_minor">[1]RSB_MinorAxis!$AA$212</definedName>
    <definedName name="phiNuo_x">[1]Main!$W$182</definedName>
    <definedName name="phiNuo_y">[1]Main!$W$219</definedName>
    <definedName name="phiNut_major">[1]RSB_MajorAxis!$C$212</definedName>
    <definedName name="phiNut_minor">[1]RSB_MinorAxis!$C$212</definedName>
    <definedName name="phiTus">[1]Main!$W$287</definedName>
    <definedName name="phiVu_max_tor_x">[1]Main!$W$352</definedName>
    <definedName name="phiVu_max_tor_y">[1]Main!$W$313</definedName>
    <definedName name="phiVu_max_x">[1]Main!$W$351</definedName>
    <definedName name="phiVu_max_y">[1]Main!$W$312</definedName>
    <definedName name="phiVu_x">[1]Main!$W$350</definedName>
    <definedName name="phiVu_y">[1]Main!$W$311</definedName>
    <definedName name="phiVuc_x">[1]Main!$W$346</definedName>
    <definedName name="phiVuc_y">[1]Main!$W$307</definedName>
    <definedName name="phiVus_x">[1]Main!$W$349</definedName>
    <definedName name="phiVus_y">[1]Main!$W$310</definedName>
    <definedName name="Ploss">[1]Main!$U$41</definedName>
    <definedName name="Ppst">[1]Main!$U$40</definedName>
    <definedName name="Ppt">[1]Main!$R$117</definedName>
    <definedName name="pre_post?">[1]Main!$S$53</definedName>
    <definedName name="ProjectName">'[2]Constants and Controls'!$B$2</definedName>
    <definedName name="Pv_x">[1]Main!$S$113</definedName>
    <definedName name="Pv_y">[1]Main!$S$98</definedName>
    <definedName name="r_x">[1]Main!$W$149</definedName>
    <definedName name="r_y">[1]Main!$W$150</definedName>
    <definedName name="ratio_em_x">[1]Main!$W$186</definedName>
    <definedName name="ratio_em_y">[1]Main!$W$223</definedName>
    <definedName name="RedAreaLocation">'[2]Constants and Controls'!$B$41</definedName>
    <definedName name="RedLLLocation">'[2]Constants and Controls'!$B$49</definedName>
    <definedName name="rho_peff_x">[1]Main!$W$446</definedName>
    <definedName name="rho_peff_y">[1]Main!$W$500</definedName>
    <definedName name="s_cl">[1]Main!$AD$81</definedName>
    <definedName name="s_long_max_tor">[1]Main!$W$290</definedName>
    <definedName name="s_long_max_x">[1]Main!$W$358</definedName>
    <definedName name="s_long_max_y">[1]Main!$W$319</definedName>
    <definedName name="s_long_tor">[1]Main!$W$289</definedName>
    <definedName name="s_long_x">[1]Main!$W$357</definedName>
    <definedName name="s_long_y">[1]Main!$W$318</definedName>
    <definedName name="s_ol_x">[1]Main!$AD$83</definedName>
    <definedName name="s_ol_y">[1]Main!$AD$82</definedName>
    <definedName name="s_trans_max_x">[1]Main!$W$356</definedName>
    <definedName name="s_trans_max_y">[1]Main!$W$317</definedName>
    <definedName name="s_trans_x">[1]Main!$W$355</definedName>
    <definedName name="s_trans_y">[1]Main!$W$316</definedName>
    <definedName name="sc_lowerNlimit_x">[1]RSB_MajorAxis!$AD$10</definedName>
    <definedName name="sc_lowerNlimit_y">[1]RSB_MinorAxis!$AD$10</definedName>
    <definedName name="section_type">[1]Main!$W$156</definedName>
    <definedName name="service_term">[1]Main!$U$49</definedName>
    <definedName name="shear_reo_req_x">[1]Main!$W$347</definedName>
    <definedName name="shear_reo_req_y">[1]Main!$W$308</definedName>
    <definedName name="sigma_cp">[1]Main!$W$277</definedName>
    <definedName name="sigma_pt_bot_x">[1]RSB_MajorAxis!$D$45</definedName>
    <definedName name="sigma_pt_bot_y">[1]RSB_MinorAxis!$D$45</definedName>
    <definedName name="sigma_pt_top_x">[1]RSB_MajorAxis!$D$43</definedName>
    <definedName name="sigma_pt_top_y">[1]RSB_MinorAxis!$D$43</definedName>
    <definedName name="sigma_s_x">[1]Main!$W$450</definedName>
    <definedName name="sigma_s_y">[1]Main!$W$504</definedName>
    <definedName name="slenderness_x">[1]Main!$W$188</definedName>
    <definedName name="slenderness_y">[1]Main!$W$225</definedName>
    <definedName name="sls_loading_case">[1]Main!$W$392</definedName>
    <definedName name="spec_confine_req">[1]Main!$W$245</definedName>
    <definedName name="sr_max_x">[1]Main!$W$449</definedName>
    <definedName name="sr_max_y">[1]Main!$W$503</definedName>
    <definedName name="t_final">[1]Main!$U$51</definedName>
    <definedName name="t_initial">[1]Main!$U$50</definedName>
    <definedName name="T4_ColumnsVsSlabs">'[3]Typical Offsets'!$D$8</definedName>
    <definedName name="Tcr">[1]Main!$W$278</definedName>
    <definedName name="th">[1]Main!$W$155</definedName>
    <definedName name="theta_x">[1]Main!$W$344</definedName>
    <definedName name="theta_y">[1]Main!$W$305</definedName>
    <definedName name="torsion_req">[1]Main!$W$279</definedName>
    <definedName name="transverse_load_major">[1]Main!$U$18</definedName>
    <definedName name="transverse_load_minor">[1]Main!$U$23</definedName>
    <definedName name="Tstar">[1]Main!$R$128</definedName>
    <definedName name="Tstar_shear">[1]Main!$W$280</definedName>
    <definedName name="uc">[1]Main!$W$276</definedName>
    <definedName name="ue">[1]Main!$U$52</definedName>
    <definedName name="uh">[1]Main!$W$271</definedName>
    <definedName name="UltDLFact">'[2]Constants and Controls'!$B$13</definedName>
    <definedName name="UltLLFact">'[2]Constants and Controls'!$B$14</definedName>
    <definedName name="Vstar_x">[1]Main!$R$135</definedName>
    <definedName name="Vstar_y">[1]Main!$R$130</definedName>
    <definedName name="Vuc_x">[1]Main!$W$345</definedName>
    <definedName name="Vuc_y">[1]Main!$W$306</definedName>
    <definedName name="W_width">[1]Main!$U$8</definedName>
    <definedName name="wk_x">[1]Main!$W$452</definedName>
    <definedName name="wk_y">[1]Main!$W$506</definedName>
    <definedName name="x_cg">[1]Main!$W$152</definedName>
    <definedName name="XLocation">'[2]Constants and Controls'!$B$8</definedName>
    <definedName name="y_cg">[1]Main!$W$151</definedName>
    <definedName name="y_pt">[1]Main!$R$119</definedName>
    <definedName name="y1_y">[1]Main!$W$284</definedName>
    <definedName name="YLocation">'[2]Constants and Controls'!$B$9</definedName>
    <definedName name="zeta_1_sls_x">[1]Main!$W$445</definedName>
    <definedName name="zeta_1_sls_y">[1]Main!$W$499</definedName>
    <definedName name="zeta_br">[1]Main!$W$396</definedName>
    <definedName name="Zx">[1]Main!$W$169</definedName>
    <definedName name="Zy">[1]Main!$W$206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9" i="3" l="1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G84" i="3" l="1"/>
  <c r="G85" i="3"/>
  <c r="G86" i="3"/>
  <c r="G87" i="3"/>
  <c r="G89" i="3"/>
  <c r="G92" i="3"/>
  <c r="G93" i="3"/>
  <c r="G94" i="3"/>
  <c r="G95" i="3"/>
  <c r="G97" i="3"/>
  <c r="G100" i="3"/>
  <c r="G101" i="3"/>
  <c r="G102" i="3"/>
  <c r="G103" i="3"/>
  <c r="G105" i="3"/>
  <c r="F44" i="3"/>
  <c r="G44" i="3" s="1"/>
  <c r="F45" i="3"/>
  <c r="G45" i="3" s="1"/>
  <c r="F46" i="3"/>
  <c r="G46" i="3" s="1"/>
  <c r="F49" i="3"/>
  <c r="G49" i="3" s="1"/>
  <c r="F50" i="3"/>
  <c r="G50" i="3" s="1"/>
  <c r="F51" i="3"/>
  <c r="G51" i="3" s="1"/>
  <c r="F52" i="3"/>
  <c r="G52" i="3" s="1"/>
  <c r="F53" i="3"/>
  <c r="G53" i="3" s="1"/>
  <c r="F54" i="3"/>
  <c r="G54" i="3" s="1"/>
  <c r="F55" i="3"/>
  <c r="G55" i="3" s="1"/>
  <c r="F57" i="3"/>
  <c r="G57" i="3" s="1"/>
  <c r="F58" i="3"/>
  <c r="G58" i="3" s="1"/>
  <c r="F59" i="3"/>
  <c r="G59" i="3" s="1"/>
  <c r="F61" i="3"/>
  <c r="G61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G70" i="3" s="1"/>
  <c r="F73" i="3"/>
  <c r="G73" i="3" s="1"/>
  <c r="F74" i="3"/>
  <c r="G74" i="3" s="1"/>
  <c r="F76" i="3"/>
  <c r="G76" i="3" s="1"/>
  <c r="F77" i="3"/>
  <c r="G77" i="3" s="1"/>
  <c r="F42" i="3"/>
  <c r="R48" i="3"/>
  <c r="R49" i="3"/>
  <c r="R50" i="3"/>
  <c r="R56" i="3"/>
  <c r="R57" i="3"/>
  <c r="R58" i="3"/>
  <c r="R64" i="3"/>
  <c r="R65" i="3"/>
  <c r="R66" i="3"/>
  <c r="R72" i="3"/>
  <c r="R73" i="3"/>
  <c r="R74" i="3"/>
  <c r="R80" i="3"/>
  <c r="R81" i="3"/>
  <c r="R82" i="3"/>
  <c r="R88" i="3"/>
  <c r="R89" i="3"/>
  <c r="R90" i="3"/>
  <c r="R96" i="3"/>
  <c r="R97" i="3"/>
  <c r="R99" i="3"/>
  <c r="R100" i="3"/>
  <c r="R105" i="3"/>
  <c r="R42" i="3"/>
  <c r="F43" i="3"/>
  <c r="G43" i="3" s="1"/>
  <c r="F47" i="3"/>
  <c r="G47" i="3" s="1"/>
  <c r="F48" i="3"/>
  <c r="G48" i="3" s="1"/>
  <c r="F56" i="3"/>
  <c r="G56" i="3" s="1"/>
  <c r="F60" i="3"/>
  <c r="G60" i="3" s="1"/>
  <c r="F62" i="3"/>
  <c r="G62" i="3" s="1"/>
  <c r="F63" i="3"/>
  <c r="G63" i="3" s="1"/>
  <c r="F64" i="3"/>
  <c r="G64" i="3" s="1"/>
  <c r="F71" i="3"/>
  <c r="G71" i="3" s="1"/>
  <c r="F72" i="3"/>
  <c r="G72" i="3" s="1"/>
  <c r="F75" i="3"/>
  <c r="G75" i="3" s="1"/>
  <c r="G78" i="3"/>
  <c r="G79" i="3"/>
  <c r="G80" i="3"/>
  <c r="G81" i="3"/>
  <c r="G82" i="3"/>
  <c r="G83" i="3"/>
  <c r="G88" i="3"/>
  <c r="G90" i="3"/>
  <c r="G91" i="3"/>
  <c r="G96" i="3"/>
  <c r="G98" i="3"/>
  <c r="G99" i="3"/>
  <c r="G104" i="3"/>
  <c r="D43" i="3"/>
  <c r="R98" i="3"/>
  <c r="R101" i="3"/>
  <c r="R102" i="3"/>
  <c r="R103" i="3"/>
  <c r="R104" i="3"/>
  <c r="R44" i="3"/>
  <c r="R45" i="3"/>
  <c r="R46" i="3"/>
  <c r="R47" i="3"/>
  <c r="R51" i="3"/>
  <c r="R52" i="3"/>
  <c r="R53" i="3"/>
  <c r="R54" i="3"/>
  <c r="R55" i="3"/>
  <c r="R59" i="3"/>
  <c r="R60" i="3"/>
  <c r="R61" i="3"/>
  <c r="R62" i="3"/>
  <c r="R63" i="3"/>
  <c r="R67" i="3"/>
  <c r="R68" i="3"/>
  <c r="R69" i="3"/>
  <c r="R70" i="3"/>
  <c r="R71" i="3"/>
  <c r="R75" i="3"/>
  <c r="R76" i="3"/>
  <c r="R77" i="3"/>
  <c r="R78" i="3"/>
  <c r="R79" i="3"/>
  <c r="R83" i="3"/>
  <c r="R84" i="3"/>
  <c r="R85" i="3"/>
  <c r="R86" i="3"/>
  <c r="R87" i="3"/>
  <c r="R91" i="3"/>
  <c r="R92" i="3"/>
  <c r="R93" i="3"/>
  <c r="R94" i="3"/>
  <c r="R95" i="3"/>
  <c r="R43" i="3"/>
  <c r="G42" i="3" l="1"/>
  <c r="D44" i="3"/>
  <c r="D45" i="3" l="1"/>
  <c r="D46" i="3" l="1"/>
  <c r="D47" i="3" l="1"/>
  <c r="D48" i="3" l="1"/>
  <c r="D49" i="3" l="1"/>
  <c r="D50" i="3" l="1"/>
  <c r="D51" i="3" l="1"/>
  <c r="D52" i="3" l="1"/>
  <c r="D53" i="3" l="1"/>
  <c r="D54" i="3" l="1"/>
  <c r="D55" i="3" l="1"/>
  <c r="D56" i="3"/>
  <c r="D57" i="3" l="1"/>
  <c r="D58" i="3" l="1"/>
  <c r="D59" i="3" l="1"/>
  <c r="D60" i="3" l="1"/>
  <c r="D61" i="3" l="1"/>
  <c r="D62" i="3" l="1"/>
  <c r="D63" i="3" l="1"/>
  <c r="D64" i="3" l="1"/>
  <c r="D65" i="3" l="1"/>
  <c r="D66" i="3" l="1"/>
  <c r="D67" i="3" l="1"/>
  <c r="D68" i="3" l="1"/>
  <c r="D69" i="3" l="1"/>
  <c r="W68" i="3" l="1"/>
  <c r="X68" i="3" s="1"/>
  <c r="I42" i="3"/>
  <c r="I69" i="3"/>
  <c r="J69" i="3" s="1"/>
  <c r="I43" i="3"/>
  <c r="J43" i="3" s="1"/>
  <c r="I44" i="3"/>
  <c r="I45" i="3"/>
  <c r="J45" i="3" s="1"/>
  <c r="I46" i="3"/>
  <c r="J46" i="3" s="1"/>
  <c r="I47" i="3"/>
  <c r="J47" i="3" s="1"/>
  <c r="I48" i="3"/>
  <c r="I49" i="3"/>
  <c r="I50" i="3"/>
  <c r="J50" i="3" s="1"/>
  <c r="I51" i="3"/>
  <c r="J51" i="3" s="1"/>
  <c r="I52" i="3"/>
  <c r="J52" i="3" s="1"/>
  <c r="I53" i="3"/>
  <c r="J53" i="3" s="1"/>
  <c r="I54" i="3"/>
  <c r="J54" i="3" s="1"/>
  <c r="I56" i="3"/>
  <c r="J56" i="3" s="1"/>
  <c r="I55" i="3"/>
  <c r="I57" i="3"/>
  <c r="I58" i="3"/>
  <c r="J58" i="3" s="1"/>
  <c r="I59" i="3"/>
  <c r="J59" i="3" s="1"/>
  <c r="I60" i="3"/>
  <c r="I61" i="3"/>
  <c r="J61" i="3" s="1"/>
  <c r="I62" i="3"/>
  <c r="J62" i="3" s="1"/>
  <c r="I63" i="3"/>
  <c r="J63" i="3" s="1"/>
  <c r="I64" i="3"/>
  <c r="I65" i="3"/>
  <c r="I66" i="3"/>
  <c r="J66" i="3" s="1"/>
  <c r="I67" i="3"/>
  <c r="J67" i="3" s="1"/>
  <c r="T68" i="3"/>
  <c r="I68" i="3"/>
  <c r="J68" i="3" s="1"/>
  <c r="T69" i="3"/>
  <c r="Y69" i="3"/>
  <c r="Z69" i="3" s="1"/>
  <c r="W69" i="3"/>
  <c r="X69" i="3" s="1"/>
  <c r="U69" i="3"/>
  <c r="V69" i="3" s="1"/>
  <c r="Y42" i="3"/>
  <c r="Z42" i="3" s="1"/>
  <c r="W42" i="3"/>
  <c r="X42" i="3" s="1"/>
  <c r="U42" i="3"/>
  <c r="V42" i="3" s="1"/>
  <c r="S42" i="3"/>
  <c r="T42" i="3" s="1"/>
  <c r="Y43" i="3"/>
  <c r="Z43" i="3" s="1"/>
  <c r="U43" i="3"/>
  <c r="V43" i="3" s="1"/>
  <c r="S43" i="3"/>
  <c r="T43" i="3" s="1"/>
  <c r="W43" i="3"/>
  <c r="X43" i="3" s="1"/>
  <c r="Y44" i="3"/>
  <c r="Z44" i="3" s="1"/>
  <c r="W44" i="3"/>
  <c r="X44" i="3" s="1"/>
  <c r="U44" i="3"/>
  <c r="V44" i="3" s="1"/>
  <c r="S44" i="3"/>
  <c r="T44" i="3" s="1"/>
  <c r="W45" i="3"/>
  <c r="X45" i="3" s="1"/>
  <c r="U45" i="3"/>
  <c r="V45" i="3" s="1"/>
  <c r="S45" i="3"/>
  <c r="T45" i="3" s="1"/>
  <c r="Y45" i="3"/>
  <c r="Z45" i="3" s="1"/>
  <c r="Y46" i="3"/>
  <c r="Z46" i="3" s="1"/>
  <c r="U46" i="3"/>
  <c r="V46" i="3" s="1"/>
  <c r="S46" i="3"/>
  <c r="T46" i="3" s="1"/>
  <c r="W46" i="3"/>
  <c r="X46" i="3" s="1"/>
  <c r="Y47" i="3"/>
  <c r="Z47" i="3" s="1"/>
  <c r="U47" i="3"/>
  <c r="V47" i="3" s="1"/>
  <c r="S47" i="3"/>
  <c r="T47" i="3" s="1"/>
  <c r="W47" i="3"/>
  <c r="X47" i="3" s="1"/>
  <c r="S48" i="3"/>
  <c r="T48" i="3" s="1"/>
  <c r="Y48" i="3"/>
  <c r="Z48" i="3" s="1"/>
  <c r="W48" i="3"/>
  <c r="X48" i="3" s="1"/>
  <c r="U48" i="3"/>
  <c r="V48" i="3" s="1"/>
  <c r="Y49" i="3"/>
  <c r="Z49" i="3" s="1"/>
  <c r="W49" i="3"/>
  <c r="X49" i="3" s="1"/>
  <c r="U49" i="3"/>
  <c r="V49" i="3" s="1"/>
  <c r="S49" i="3"/>
  <c r="T49" i="3" s="1"/>
  <c r="Y50" i="3"/>
  <c r="Z50" i="3" s="1"/>
  <c r="S50" i="3"/>
  <c r="T50" i="3" s="1"/>
  <c r="W50" i="3"/>
  <c r="X50" i="3" s="1"/>
  <c r="U50" i="3"/>
  <c r="V50" i="3" s="1"/>
  <c r="Y51" i="3"/>
  <c r="Z51" i="3" s="1"/>
  <c r="U51" i="3"/>
  <c r="V51" i="3" s="1"/>
  <c r="W51" i="3"/>
  <c r="X51" i="3" s="1"/>
  <c r="T51" i="3"/>
  <c r="Y52" i="3"/>
  <c r="Z52" i="3" s="1"/>
  <c r="W52" i="3"/>
  <c r="X52" i="3" s="1"/>
  <c r="T52" i="3"/>
  <c r="U52" i="3"/>
  <c r="V52" i="3" s="1"/>
  <c r="Y53" i="3"/>
  <c r="Z53" i="3" s="1"/>
  <c r="W53" i="3"/>
  <c r="X53" i="3" s="1"/>
  <c r="T53" i="3"/>
  <c r="U53" i="3"/>
  <c r="V53" i="3" s="1"/>
  <c r="U54" i="3"/>
  <c r="V54" i="3" s="1"/>
  <c r="Y54" i="3"/>
  <c r="Z54" i="3" s="1"/>
  <c r="W54" i="3"/>
  <c r="X54" i="3" s="1"/>
  <c r="T54" i="3"/>
  <c r="Y56" i="3"/>
  <c r="Z56" i="3" s="1"/>
  <c r="U56" i="3"/>
  <c r="V56" i="3" s="1"/>
  <c r="Y55" i="3"/>
  <c r="Z55" i="3" s="1"/>
  <c r="T55" i="3"/>
  <c r="U55" i="3"/>
  <c r="V55" i="3" s="1"/>
  <c r="W56" i="3"/>
  <c r="X56" i="3" s="1"/>
  <c r="W55" i="3"/>
  <c r="X55" i="3" s="1"/>
  <c r="T56" i="3"/>
  <c r="Y57" i="3"/>
  <c r="Z57" i="3" s="1"/>
  <c r="U57" i="3"/>
  <c r="V57" i="3" s="1"/>
  <c r="T57" i="3"/>
  <c r="W57" i="3"/>
  <c r="X57" i="3" s="1"/>
  <c r="Y58" i="3"/>
  <c r="Z58" i="3" s="1"/>
  <c r="W58" i="3"/>
  <c r="X58" i="3" s="1"/>
  <c r="T58" i="3"/>
  <c r="U58" i="3"/>
  <c r="V58" i="3" s="1"/>
  <c r="Y59" i="3"/>
  <c r="Z59" i="3" s="1"/>
  <c r="W59" i="3"/>
  <c r="X59" i="3" s="1"/>
  <c r="U59" i="3"/>
  <c r="V59" i="3" s="1"/>
  <c r="T59" i="3"/>
  <c r="Y60" i="3"/>
  <c r="Z60" i="3" s="1"/>
  <c r="U60" i="3"/>
  <c r="V60" i="3" s="1"/>
  <c r="T60" i="3"/>
  <c r="W60" i="3"/>
  <c r="X60" i="3" s="1"/>
  <c r="W61" i="3"/>
  <c r="X61" i="3" s="1"/>
  <c r="U61" i="3"/>
  <c r="V61" i="3" s="1"/>
  <c r="Y61" i="3"/>
  <c r="Z61" i="3" s="1"/>
  <c r="T61" i="3"/>
  <c r="W62" i="3"/>
  <c r="X62" i="3" s="1"/>
  <c r="U62" i="3"/>
  <c r="V62" i="3" s="1"/>
  <c r="Y62" i="3"/>
  <c r="Z62" i="3" s="1"/>
  <c r="T62" i="3"/>
  <c r="W63" i="3"/>
  <c r="X63" i="3" s="1"/>
  <c r="U63" i="3"/>
  <c r="V63" i="3" s="1"/>
  <c r="Y63" i="3"/>
  <c r="Z63" i="3" s="1"/>
  <c r="T63" i="3"/>
  <c r="Y64" i="3"/>
  <c r="Z64" i="3" s="1"/>
  <c r="W64" i="3"/>
  <c r="X64" i="3" s="1"/>
  <c r="T64" i="3"/>
  <c r="U64" i="3"/>
  <c r="V64" i="3" s="1"/>
  <c r="Y65" i="3"/>
  <c r="Z65" i="3" s="1"/>
  <c r="W65" i="3"/>
  <c r="X65" i="3" s="1"/>
  <c r="T65" i="3"/>
  <c r="U65" i="3"/>
  <c r="V65" i="3" s="1"/>
  <c r="Y66" i="3"/>
  <c r="Z66" i="3" s="1"/>
  <c r="W66" i="3"/>
  <c r="X66" i="3" s="1"/>
  <c r="T66" i="3"/>
  <c r="U66" i="3"/>
  <c r="V66" i="3" s="1"/>
  <c r="Y67" i="3"/>
  <c r="Z67" i="3" s="1"/>
  <c r="W67" i="3"/>
  <c r="X67" i="3" s="1"/>
  <c r="T67" i="3"/>
  <c r="U67" i="3"/>
  <c r="V67" i="3" s="1"/>
  <c r="U68" i="3"/>
  <c r="V68" i="3" s="1"/>
  <c r="Y68" i="3"/>
  <c r="Z68" i="3" s="1"/>
  <c r="M42" i="3"/>
  <c r="O69" i="3"/>
  <c r="P69" i="3" s="1"/>
  <c r="J42" i="3"/>
  <c r="O42" i="3"/>
  <c r="P42" i="3" s="1"/>
  <c r="M43" i="3"/>
  <c r="M69" i="3"/>
  <c r="O43" i="3"/>
  <c r="P43" i="3" s="1"/>
  <c r="O44" i="3"/>
  <c r="P44" i="3" s="1"/>
  <c r="O45" i="3"/>
  <c r="P45" i="3" s="1"/>
  <c r="M45" i="3"/>
  <c r="M46" i="3"/>
  <c r="O46" i="3"/>
  <c r="P46" i="3" s="1"/>
  <c r="M47" i="3"/>
  <c r="O47" i="3"/>
  <c r="P47" i="3" s="1"/>
  <c r="M48" i="3"/>
  <c r="O48" i="3"/>
  <c r="P48" i="3" s="1"/>
  <c r="J48" i="3"/>
  <c r="M49" i="3"/>
  <c r="J49" i="3"/>
  <c r="O49" i="3"/>
  <c r="P49" i="3" s="1"/>
  <c r="M50" i="3"/>
  <c r="O50" i="3"/>
  <c r="P50" i="3" s="1"/>
  <c r="O51" i="3"/>
  <c r="P51" i="3" s="1"/>
  <c r="M51" i="3"/>
  <c r="O52" i="3"/>
  <c r="P52" i="3" s="1"/>
  <c r="M52" i="3"/>
  <c r="M54" i="3"/>
  <c r="O54" i="3"/>
  <c r="P54" i="3" s="1"/>
  <c r="O53" i="3"/>
  <c r="P53" i="3" s="1"/>
  <c r="M53" i="3"/>
  <c r="M55" i="3"/>
  <c r="O55" i="3"/>
  <c r="P55" i="3" s="1"/>
  <c r="M56" i="3"/>
  <c r="O56" i="3"/>
  <c r="P56" i="3" s="1"/>
  <c r="M57" i="3"/>
  <c r="J57" i="3"/>
  <c r="O57" i="3"/>
  <c r="P57" i="3" s="1"/>
  <c r="M58" i="3"/>
  <c r="O58" i="3"/>
  <c r="P58" i="3" s="1"/>
  <c r="M59" i="3"/>
  <c r="O59" i="3"/>
  <c r="P59" i="3" s="1"/>
  <c r="M60" i="3"/>
  <c r="O60" i="3"/>
  <c r="P60" i="3" s="1"/>
  <c r="O61" i="3"/>
  <c r="P61" i="3" s="1"/>
  <c r="M61" i="3"/>
  <c r="M62" i="3"/>
  <c r="O62" i="3"/>
  <c r="P62" i="3" s="1"/>
  <c r="O63" i="3"/>
  <c r="P63" i="3" s="1"/>
  <c r="M63" i="3"/>
  <c r="J64" i="3"/>
  <c r="O64" i="3"/>
  <c r="P64" i="3" s="1"/>
  <c r="M64" i="3"/>
  <c r="M65" i="3"/>
  <c r="J65" i="3"/>
  <c r="O65" i="3"/>
  <c r="P65" i="3" s="1"/>
  <c r="M66" i="3"/>
  <c r="O66" i="3"/>
  <c r="P66" i="3" s="1"/>
  <c r="O67" i="3"/>
  <c r="P67" i="3" s="1"/>
  <c r="M67" i="3"/>
  <c r="M68" i="3"/>
  <c r="O68" i="3"/>
  <c r="P68" i="3" s="1"/>
  <c r="J44" i="3"/>
  <c r="M44" i="3"/>
  <c r="J55" i="3"/>
  <c r="J60" i="3"/>
  <c r="D70" i="3"/>
  <c r="I70" i="3" s="1"/>
  <c r="W70" i="3" l="1"/>
  <c r="X70" i="3" s="1"/>
  <c r="T70" i="3"/>
  <c r="Y70" i="3"/>
  <c r="Z70" i="3" s="1"/>
  <c r="U70" i="3"/>
  <c r="V70" i="3" s="1"/>
  <c r="M70" i="3"/>
  <c r="J70" i="3"/>
  <c r="O70" i="3"/>
  <c r="P70" i="3" s="1"/>
  <c r="D71" i="3"/>
  <c r="I71" i="3" s="1"/>
  <c r="T71" i="3" l="1"/>
  <c r="Y71" i="3"/>
  <c r="Z71" i="3" s="1"/>
  <c r="U71" i="3"/>
  <c r="V71" i="3" s="1"/>
  <c r="W71" i="3"/>
  <c r="X71" i="3" s="1"/>
  <c r="M71" i="3"/>
  <c r="J71" i="3"/>
  <c r="O71" i="3"/>
  <c r="P71" i="3" s="1"/>
  <c r="D72" i="3"/>
  <c r="I72" i="3" s="1"/>
  <c r="Y72" i="3" l="1"/>
  <c r="Z72" i="3" s="1"/>
  <c r="W72" i="3"/>
  <c r="X72" i="3" s="1"/>
  <c r="U72" i="3"/>
  <c r="V72" i="3" s="1"/>
  <c r="T72" i="3"/>
  <c r="M72" i="3"/>
  <c r="J72" i="3"/>
  <c r="O72" i="3"/>
  <c r="P72" i="3" s="1"/>
  <c r="D73" i="3"/>
  <c r="I73" i="3" s="1"/>
  <c r="Y73" i="3" l="1"/>
  <c r="Z73" i="3" s="1"/>
  <c r="W73" i="3"/>
  <c r="X73" i="3" s="1"/>
  <c r="U73" i="3"/>
  <c r="V73" i="3" s="1"/>
  <c r="T73" i="3"/>
  <c r="M73" i="3"/>
  <c r="J73" i="3"/>
  <c r="O73" i="3"/>
  <c r="P73" i="3" s="1"/>
  <c r="D74" i="3"/>
  <c r="I74" i="3" s="1"/>
  <c r="Y74" i="3" l="1"/>
  <c r="Z74" i="3" s="1"/>
  <c r="W74" i="3"/>
  <c r="X74" i="3" s="1"/>
  <c r="U74" i="3"/>
  <c r="V74" i="3" s="1"/>
  <c r="T74" i="3"/>
  <c r="M74" i="3"/>
  <c r="J74" i="3"/>
  <c r="O74" i="3"/>
  <c r="P74" i="3" s="1"/>
  <c r="D75" i="3"/>
  <c r="Y75" i="3" l="1"/>
  <c r="Z75" i="3" s="1"/>
  <c r="W75" i="3"/>
  <c r="X75" i="3" s="1"/>
  <c r="U75" i="3"/>
  <c r="V75" i="3" s="1"/>
  <c r="T75" i="3"/>
  <c r="D76" i="3"/>
  <c r="Y76" i="3" l="1"/>
  <c r="Z76" i="3" s="1"/>
  <c r="W76" i="3"/>
  <c r="X76" i="3" s="1"/>
  <c r="U76" i="3"/>
  <c r="V76" i="3" s="1"/>
  <c r="T76" i="3"/>
  <c r="D77" i="3"/>
  <c r="Y77" i="3" l="1"/>
  <c r="Z77" i="3" s="1"/>
  <c r="W77" i="3"/>
  <c r="X77" i="3" s="1"/>
  <c r="U77" i="3"/>
  <c r="V77" i="3" s="1"/>
  <c r="T77" i="3"/>
  <c r="D78" i="3"/>
  <c r="W78" i="3" l="1"/>
  <c r="X78" i="3" s="1"/>
  <c r="U78" i="3"/>
  <c r="V78" i="3" s="1"/>
  <c r="T78" i="3"/>
  <c r="Y78" i="3"/>
  <c r="Z78" i="3" s="1"/>
  <c r="D79" i="3"/>
  <c r="W79" i="3" l="1"/>
  <c r="X79" i="3" s="1"/>
  <c r="U79" i="3"/>
  <c r="V79" i="3" s="1"/>
  <c r="Y79" i="3"/>
  <c r="Z79" i="3" s="1"/>
  <c r="D80" i="3"/>
  <c r="W80" i="3" l="1"/>
  <c r="X80" i="3" s="1"/>
  <c r="U80" i="3"/>
  <c r="V80" i="3" s="1"/>
  <c r="Y80" i="3"/>
  <c r="Z80" i="3" s="1"/>
  <c r="D81" i="3"/>
  <c r="Y81" i="3" l="1"/>
  <c r="Z81" i="3" s="1"/>
  <c r="W81" i="3"/>
  <c r="X81" i="3" s="1"/>
  <c r="U81" i="3"/>
  <c r="V81" i="3" s="1"/>
  <c r="D82" i="3"/>
  <c r="Y82" i="3" l="1"/>
  <c r="Z82" i="3" s="1"/>
  <c r="W82" i="3"/>
  <c r="X82" i="3" s="1"/>
  <c r="U82" i="3"/>
  <c r="V82" i="3" s="1"/>
  <c r="D83" i="3"/>
  <c r="I75" i="3" l="1"/>
  <c r="I76" i="3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Y83" i="3"/>
  <c r="Z83" i="3" s="1"/>
  <c r="W83" i="3"/>
  <c r="X83" i="3" s="1"/>
  <c r="U83" i="3"/>
  <c r="V83" i="3" s="1"/>
  <c r="T83" i="3"/>
  <c r="T79" i="3"/>
  <c r="T80" i="3"/>
  <c r="T81" i="3"/>
  <c r="T82" i="3"/>
  <c r="P83" i="3"/>
  <c r="M83" i="3"/>
  <c r="M75" i="3"/>
  <c r="O75" i="3"/>
  <c r="P75" i="3" s="1"/>
  <c r="O76" i="3"/>
  <c r="P76" i="3" s="1"/>
  <c r="M76" i="3"/>
  <c r="J76" i="3"/>
  <c r="M77" i="3"/>
  <c r="O77" i="3"/>
  <c r="P77" i="3" s="1"/>
  <c r="M78" i="3"/>
  <c r="O78" i="3"/>
  <c r="P78" i="3" s="1"/>
  <c r="M79" i="3"/>
  <c r="O79" i="3"/>
  <c r="P79" i="3" s="1"/>
  <c r="M80" i="3"/>
  <c r="O80" i="3"/>
  <c r="P80" i="3" s="1"/>
  <c r="M81" i="3"/>
  <c r="O81" i="3"/>
  <c r="P81" i="3" s="1"/>
  <c r="O82" i="3"/>
  <c r="P82" i="3" s="1"/>
  <c r="M82" i="3"/>
  <c r="J83" i="3"/>
  <c r="J75" i="3"/>
  <c r="D84" i="3"/>
  <c r="Y84" i="3" l="1"/>
  <c r="Z84" i="3" s="1"/>
  <c r="W84" i="3"/>
  <c r="X84" i="3" s="1"/>
  <c r="U84" i="3"/>
  <c r="V84" i="3" s="1"/>
  <c r="T84" i="3"/>
  <c r="P84" i="3"/>
  <c r="M84" i="3"/>
  <c r="J84" i="3"/>
  <c r="D85" i="3"/>
  <c r="T85" i="3" l="1"/>
  <c r="Y85" i="3"/>
  <c r="Z85" i="3" s="1"/>
  <c r="W85" i="3"/>
  <c r="X85" i="3" s="1"/>
  <c r="U85" i="3"/>
  <c r="V85" i="3" s="1"/>
  <c r="J85" i="3"/>
  <c r="P85" i="3"/>
  <c r="M85" i="3"/>
  <c r="D86" i="3"/>
  <c r="U86" i="3" l="1"/>
  <c r="V86" i="3" s="1"/>
  <c r="W86" i="3"/>
  <c r="X86" i="3" s="1"/>
  <c r="T86" i="3"/>
  <c r="Y86" i="3"/>
  <c r="Z86" i="3" s="1"/>
  <c r="M86" i="3"/>
  <c r="J86" i="3"/>
  <c r="P86" i="3"/>
  <c r="D87" i="3"/>
  <c r="Y87" i="3" l="1"/>
  <c r="Z87" i="3" s="1"/>
  <c r="U87" i="3"/>
  <c r="V87" i="3" s="1"/>
  <c r="W87" i="3"/>
  <c r="X87" i="3" s="1"/>
  <c r="T87" i="3"/>
  <c r="M87" i="3"/>
  <c r="J87" i="3"/>
  <c r="P87" i="3"/>
  <c r="D88" i="3"/>
  <c r="Y88" i="3" l="1"/>
  <c r="Z88" i="3" s="1"/>
  <c r="W88" i="3"/>
  <c r="X88" i="3" s="1"/>
  <c r="U88" i="3"/>
  <c r="V88" i="3" s="1"/>
  <c r="T88" i="3"/>
  <c r="M88" i="3"/>
  <c r="J88" i="3"/>
  <c r="P88" i="3"/>
  <c r="D89" i="3"/>
  <c r="Y89" i="3" l="1"/>
  <c r="Z89" i="3" s="1"/>
  <c r="W89" i="3"/>
  <c r="X89" i="3" s="1"/>
  <c r="U89" i="3"/>
  <c r="V89" i="3" s="1"/>
  <c r="T89" i="3"/>
  <c r="D90" i="3"/>
  <c r="Y90" i="3" l="1"/>
  <c r="Z90" i="3" s="1"/>
  <c r="W90" i="3"/>
  <c r="X90" i="3" s="1"/>
  <c r="U90" i="3"/>
  <c r="V90" i="3" s="1"/>
  <c r="T90" i="3"/>
  <c r="M90" i="3"/>
  <c r="J90" i="3"/>
  <c r="P90" i="3"/>
  <c r="P89" i="3"/>
  <c r="J89" i="3"/>
  <c r="M89" i="3"/>
  <c r="D91" i="3"/>
  <c r="Y91" i="3" l="1"/>
  <c r="Z91" i="3" s="1"/>
  <c r="W91" i="3"/>
  <c r="X91" i="3" s="1"/>
  <c r="U91" i="3"/>
  <c r="V91" i="3" s="1"/>
  <c r="T91" i="3"/>
  <c r="P91" i="3"/>
  <c r="M91" i="3"/>
  <c r="J91" i="3"/>
  <c r="D92" i="3"/>
  <c r="Y92" i="3" l="1"/>
  <c r="Z92" i="3" s="1"/>
  <c r="W92" i="3"/>
  <c r="X92" i="3" s="1"/>
  <c r="U92" i="3"/>
  <c r="V92" i="3" s="1"/>
  <c r="T92" i="3"/>
  <c r="P92" i="3"/>
  <c r="M92" i="3"/>
  <c r="J92" i="3"/>
  <c r="D93" i="3"/>
  <c r="Y93" i="3" l="1"/>
  <c r="Z93" i="3" s="1"/>
  <c r="W93" i="3"/>
  <c r="X93" i="3" s="1"/>
  <c r="U93" i="3"/>
  <c r="V93" i="3" s="1"/>
  <c r="T93" i="3"/>
  <c r="J93" i="3"/>
  <c r="P93" i="3"/>
  <c r="M93" i="3"/>
  <c r="D94" i="3"/>
  <c r="W94" i="3" l="1"/>
  <c r="X94" i="3" s="1"/>
  <c r="U94" i="3"/>
  <c r="V94" i="3" s="1"/>
  <c r="T94" i="3"/>
  <c r="Y94" i="3"/>
  <c r="Z94" i="3" s="1"/>
  <c r="M94" i="3"/>
  <c r="P94" i="3"/>
  <c r="J94" i="3"/>
  <c r="D95" i="3"/>
  <c r="Y95" i="3" l="1"/>
  <c r="Z95" i="3" s="1"/>
  <c r="W95" i="3"/>
  <c r="X95" i="3" s="1"/>
  <c r="V95" i="3"/>
  <c r="T95" i="3"/>
  <c r="M95" i="3"/>
  <c r="J95" i="3"/>
  <c r="P95" i="3"/>
  <c r="D96" i="3"/>
  <c r="W96" i="3" l="1"/>
  <c r="X96" i="3" s="1"/>
  <c r="V96" i="3"/>
  <c r="T96" i="3"/>
  <c r="Y96" i="3"/>
  <c r="Z96" i="3" s="1"/>
  <c r="M96" i="3"/>
  <c r="J96" i="3"/>
  <c r="P96" i="3"/>
  <c r="D97" i="3"/>
  <c r="Y97" i="3" l="1"/>
  <c r="Z97" i="3" s="1"/>
  <c r="W97" i="3"/>
  <c r="X97" i="3" s="1"/>
  <c r="V97" i="3"/>
  <c r="T97" i="3"/>
  <c r="M97" i="3"/>
  <c r="J97" i="3"/>
  <c r="P97" i="3"/>
  <c r="D98" i="3"/>
  <c r="Y98" i="3" l="1"/>
  <c r="Z98" i="3" s="1"/>
  <c r="W98" i="3"/>
  <c r="X98" i="3" s="1"/>
  <c r="T98" i="3"/>
  <c r="V98" i="3"/>
  <c r="D99" i="3"/>
  <c r="M98" i="3"/>
  <c r="J98" i="3"/>
  <c r="P98" i="3"/>
  <c r="Y99" i="3" l="1"/>
  <c r="Z99" i="3" s="1"/>
  <c r="W99" i="3"/>
  <c r="X99" i="3" s="1"/>
  <c r="V99" i="3"/>
  <c r="T99" i="3"/>
  <c r="D100" i="3"/>
  <c r="P99" i="3"/>
  <c r="M99" i="3"/>
  <c r="J99" i="3"/>
  <c r="D101" i="3" l="1"/>
  <c r="Y100" i="3"/>
  <c r="Z100" i="3" s="1"/>
  <c r="W100" i="3"/>
  <c r="X100" i="3" s="1"/>
  <c r="V100" i="3"/>
  <c r="T100" i="3"/>
  <c r="T101" i="3"/>
  <c r="Y101" i="3"/>
  <c r="Z101" i="3" s="1"/>
  <c r="W101" i="3"/>
  <c r="X101" i="3" s="1"/>
  <c r="V101" i="3"/>
  <c r="P101" i="3"/>
  <c r="M101" i="3"/>
  <c r="P100" i="3"/>
  <c r="M100" i="3"/>
  <c r="J100" i="3"/>
  <c r="J101" i="3"/>
  <c r="D102" i="3"/>
  <c r="T102" i="3" l="1"/>
  <c r="W102" i="3"/>
  <c r="X102" i="3" s="1"/>
  <c r="V102" i="3"/>
  <c r="Y102" i="3"/>
  <c r="Z102" i="3" s="1"/>
  <c r="M102" i="3"/>
  <c r="J102" i="3"/>
  <c r="P102" i="3"/>
  <c r="D103" i="3"/>
  <c r="W103" i="3" l="1"/>
  <c r="X103" i="3" s="1"/>
  <c r="T103" i="3"/>
  <c r="Y103" i="3"/>
  <c r="Z103" i="3" s="1"/>
  <c r="V103" i="3"/>
  <c r="M103" i="3"/>
  <c r="J103" i="3"/>
  <c r="P103" i="3"/>
  <c r="D104" i="3"/>
  <c r="W104" i="3" l="1"/>
  <c r="X104" i="3" s="1"/>
  <c r="V104" i="3"/>
  <c r="T104" i="3"/>
  <c r="Y104" i="3"/>
  <c r="Z104" i="3" s="1"/>
  <c r="M104" i="3"/>
  <c r="J104" i="3"/>
  <c r="P104" i="3"/>
  <c r="D105" i="3"/>
  <c r="Y105" i="3" l="1"/>
  <c r="Z105" i="3" s="1"/>
  <c r="W105" i="3"/>
  <c r="X105" i="3" s="1"/>
  <c r="V105" i="3"/>
  <c r="T105" i="3"/>
  <c r="M105" i="3"/>
  <c r="J105" i="3"/>
  <c r="P105" i="3"/>
</calcChain>
</file>

<file path=xl/sharedStrings.xml><?xml version="1.0" encoding="utf-8"?>
<sst xmlns="http://schemas.openxmlformats.org/spreadsheetml/2006/main" count="509" uniqueCount="159">
  <si>
    <t>Notes:</t>
  </si>
  <si>
    <t>Date:</t>
  </si>
  <si>
    <t>Designer:</t>
  </si>
  <si>
    <t>Job Number: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</si>
  <si>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</si>
  <si>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</si>
  <si>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</si>
  <si>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</si>
  <si>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</si>
  <si>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</si>
  <si>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</si>
  <si>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</si>
  <si>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</si>
  <si>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</si>
  <si>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</si>
  <si>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</si>
  <si>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</si>
  <si>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</si>
  <si>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Project:</t>
  </si>
  <si>
    <t>Structure:</t>
  </si>
  <si>
    <t>Frame</t>
  </si>
  <si>
    <t>Column</t>
  </si>
  <si>
    <t>Beam</t>
  </si>
  <si>
    <t>Shell</t>
  </si>
  <si>
    <t>Wall</t>
  </si>
  <si>
    <t>Floor</t>
  </si>
  <si>
    <t>Waterfront</t>
  </si>
  <si>
    <t>North-Tower</t>
  </si>
  <si>
    <t>S.Cubis</t>
  </si>
  <si>
    <t>YES</t>
  </si>
  <si>
    <t>Model File:</t>
  </si>
  <si>
    <t xml:space="preserve">Model is Open? </t>
  </si>
  <si>
    <t>story_id</t>
  </si>
  <si>
    <t>Spreadsheet - Batch Staging Assign</t>
  </si>
  <si>
    <t>days</t>
  </si>
  <si>
    <t>Walls (days ahead of Floor)</t>
  </si>
  <si>
    <t>Column (days ahead of Floor)</t>
  </si>
  <si>
    <t>LOAD: SDL (fitout) (days behind of Floor)</t>
  </si>
  <si>
    <t>LOAD: Facade (days behind of Floor)</t>
  </si>
  <si>
    <t>LOAD: Constr LL (days behind of Floor)</t>
  </si>
  <si>
    <t>Number of Floors</t>
  </si>
  <si>
    <t>Stories</t>
  </si>
  <si>
    <t>Stage</t>
  </si>
  <si>
    <t>Time</t>
  </si>
  <si>
    <t>(days)</t>
  </si>
  <si>
    <t>[Operation] Add Loading</t>
  </si>
  <si>
    <t>SW</t>
  </si>
  <si>
    <t>SDL</t>
  </si>
  <si>
    <t>Façade</t>
  </si>
  <si>
    <t>Stage No.</t>
  </si>
  <si>
    <t>Age when Floors are loaded</t>
  </si>
  <si>
    <t>LOAD: LL (completion) (days behind of Floor)</t>
  </si>
  <si>
    <t>(Occupation of Floor - Replace Construction LL with Standard LL)</t>
  </si>
  <si>
    <t>stage_number</t>
  </si>
  <si>
    <t>stage_time</t>
  </si>
  <si>
    <t>add_sw</t>
  </si>
  <si>
    <t>add_facade</t>
  </si>
  <si>
    <t>add_sdl</t>
  </si>
  <si>
    <t>Story35 - Roof</t>
  </si>
  <si>
    <t>Story34 - Sky Terrace</t>
  </si>
  <si>
    <t>Story33</t>
  </si>
  <si>
    <t>Story32</t>
  </si>
  <si>
    <t>Story31</t>
  </si>
  <si>
    <t>Story30</t>
  </si>
  <si>
    <t>Story29</t>
  </si>
  <si>
    <t>Story28</t>
  </si>
  <si>
    <t>Story27</t>
  </si>
  <si>
    <t>Story26</t>
  </si>
  <si>
    <t>Story25</t>
  </si>
  <si>
    <t>Story24</t>
  </si>
  <si>
    <t>Story23</t>
  </si>
  <si>
    <t>Story22</t>
  </si>
  <si>
    <t>Story21</t>
  </si>
  <si>
    <t>Story20</t>
  </si>
  <si>
    <t>Story19</t>
  </si>
  <si>
    <t>Story18</t>
  </si>
  <si>
    <t>Story17</t>
  </si>
  <si>
    <t>Story16</t>
  </si>
  <si>
    <t>Story15</t>
  </si>
  <si>
    <t>Story14</t>
  </si>
  <si>
    <t>Story13</t>
  </si>
  <si>
    <t>Story12</t>
  </si>
  <si>
    <t>Story11</t>
  </si>
  <si>
    <t>Story10</t>
  </si>
  <si>
    <t>Story9</t>
  </si>
  <si>
    <t>Story8</t>
  </si>
  <si>
    <t>Story7</t>
  </si>
  <si>
    <t>Story6</t>
  </si>
  <si>
    <t>Story5</t>
  </si>
  <si>
    <t>Story4</t>
  </si>
  <si>
    <t>Story3</t>
  </si>
  <si>
    <t>Story2</t>
  </si>
  <si>
    <t>Story1</t>
  </si>
  <si>
    <t>GROUND</t>
  </si>
  <si>
    <t xml:space="preserve">Load Pattern Inputs: </t>
  </si>
  <si>
    <t>(From Etabs) - Use Python Fetch and place in correct order before Staged LC Assignment)</t>
  </si>
  <si>
    <t>Load Patterns within Model:</t>
  </si>
  <si>
    <t>Dead</t>
  </si>
  <si>
    <t>LLnon</t>
  </si>
  <si>
    <t>LLred</t>
  </si>
  <si>
    <t>SIDL</t>
  </si>
  <si>
    <t>EQX</t>
  </si>
  <si>
    <t>EQY</t>
  </si>
  <si>
    <t>AutoWind-X-Neg</t>
  </si>
  <si>
    <t>AutoWind-Y-Pos</t>
  </si>
  <si>
    <t>AutoWind-X-Pos</t>
  </si>
  <si>
    <t>AutoWind-Y-Neg</t>
  </si>
  <si>
    <t>EQX(1/3)</t>
  </si>
  <si>
    <t>EQX(2/3)</t>
  </si>
  <si>
    <t>EQX(3/3)</t>
  </si>
  <si>
    <t>EQY(1/3)</t>
  </si>
  <si>
    <t>EQY(2/3)</t>
  </si>
  <si>
    <t>EQY(3/3)</t>
  </si>
  <si>
    <t>~LLRF</t>
  </si>
  <si>
    <t>LL_red</t>
  </si>
  <si>
    <t>add_ll_red</t>
  </si>
  <si>
    <t>LL Reducible</t>
  </si>
  <si>
    <t>LL Unredubicible</t>
  </si>
  <si>
    <t>Typical Cycle Time (Walls/Floors)</t>
  </si>
  <si>
    <t>[Operation] Add Structure</t>
  </si>
  <si>
    <t>C:\Dev\WPy64-31050\python-3.10.5.amd64\python.exe</t>
  </si>
  <si>
    <t>C:\Dev\PyTabs ETABs Example Model\Model.EDB</t>
  </si>
  <si>
    <t>LL_unred</t>
  </si>
  <si>
    <t>add_ll_unred</t>
  </si>
  <si>
    <t>Operation</t>
  </si>
  <si>
    <t>Obj Type</t>
  </si>
  <si>
    <t>Group</t>
  </si>
  <si>
    <t>Cable</t>
  </si>
  <si>
    <t>Tendon</t>
  </si>
  <si>
    <t>Area</t>
  </si>
  <si>
    <t>Solid</t>
  </si>
  <si>
    <t>Link</t>
  </si>
  <si>
    <t>Point</t>
  </si>
  <si>
    <t/>
  </si>
  <si>
    <t>Age</t>
  </si>
  <si>
    <t>age_wall</t>
  </si>
  <si>
    <t>age_floor</t>
  </si>
  <si>
    <t>type_floor</t>
  </si>
  <si>
    <t>type_wall</t>
  </si>
  <si>
    <t>type_beam</t>
  </si>
  <si>
    <t>age_beam</t>
  </si>
  <si>
    <t>name_wall</t>
  </si>
  <si>
    <t>name_floor</t>
  </si>
  <si>
    <t>type_col</t>
  </si>
  <si>
    <t>name_col</t>
  </si>
  <si>
    <t>age_col</t>
  </si>
  <si>
    <t>Factor</t>
  </si>
  <si>
    <t>fact_sw</t>
  </si>
  <si>
    <t>IF_ADDED</t>
  </si>
  <si>
    <t>Name/Operation</t>
  </si>
  <si>
    <t>fact_facade</t>
  </si>
  <si>
    <t>fact_sdl</t>
  </si>
  <si>
    <t>fact_ll_red</t>
  </si>
  <si>
    <t>fact_ll_unred</t>
  </si>
  <si>
    <t>Floor Name</t>
  </si>
  <si>
    <t>Beam Name</t>
  </si>
  <si>
    <t>Storeys (Script - Fetch Story Data)</t>
  </si>
  <si>
    <t>name_beam</t>
  </si>
  <si>
    <t>Facade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</si>
</sst>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C00000"/>
      <name val="Arial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12"/>
      <color theme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b/>
      <sz val="12"/>
      <name val="Times New Roman"/>
      <family val="1"/>
    </font>
    <font>
      <b/>
      <sz val="14"/>
      <color theme="0"/>
      <name val="Calibri"/>
      <family val="2"/>
    </font>
    <font>
      <b/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2" fontId="9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" fillId="0" borderId="0"/>
  </cellStyleXfs>
  <cellXfs count="51">
    <xf numFmtId="0" fontId="0" fillId="0" borderId="0" xfId="0"/>
    <xf numFmtId="0" fontId="0" fillId="3" borderId="0" xfId="0" applyFill="1"/>
    <xf numFmtId="0" fontId="2" fillId="3" borderId="0" xfId="0" applyFont="1" applyFill="1"/>
    <xf numFmtId="0" fontId="4" fillId="3" borderId="0" xfId="0" applyFont="1" applyFill="1" applyAlignment="1">
      <alignment horizontal="right"/>
    </xf>
    <xf numFmtId="0" fontId="5" fillId="0" borderId="0" xfId="1" applyAlignment="1">
      <alignment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0" fillId="4" borderId="0" xfId="0" applyFont="1" applyFill="1" applyAlignment="1" applyProtection="1">
      <alignment vertical="center"/>
      <protection locked="0"/>
    </xf>
    <xf numFmtId="0" fontId="0" fillId="2" borderId="0" xfId="0" applyFont="1" applyFill="1" applyAlignment="1" applyProtection="1">
      <alignment vertical="center"/>
      <protection locked="0"/>
    </xf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14" fontId="0" fillId="2" borderId="0" xfId="0" applyNumberFormat="1" applyFont="1" applyFill="1" applyAlignment="1">
      <alignment horizontal="left"/>
    </xf>
    <xf numFmtId="0" fontId="2" fillId="6" borderId="0" xfId="0" applyFont="1" applyFill="1"/>
    <xf numFmtId="0" fontId="0" fillId="3" borderId="0" xfId="0" applyFill="1" applyBorder="1" applyAlignment="1">
      <alignment horizontal="center"/>
    </xf>
    <xf numFmtId="0" fontId="0" fillId="0" borderId="0" xfId="0" applyBorder="1"/>
    <xf numFmtId="0" fontId="4" fillId="3" borderId="0" xfId="0" applyFont="1" applyFill="1" applyBorder="1" applyAlignment="1"/>
    <xf numFmtId="0" fontId="0" fillId="3" borderId="10" xfId="0" applyFill="1" applyBorder="1" applyAlignment="1">
      <alignment horizontal="center"/>
    </xf>
    <xf numFmtId="0" fontId="0" fillId="0" borderId="10" xfId="0" applyBorder="1"/>
    <xf numFmtId="0" fontId="0" fillId="6" borderId="10" xfId="0" applyFill="1" applyBorder="1" applyAlignment="1">
      <alignment horizontal="center"/>
    </xf>
    <xf numFmtId="0" fontId="0" fillId="6" borderId="10" xfId="0" applyFill="1" applyBorder="1"/>
    <xf numFmtId="0" fontId="4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0" fillId="7" borderId="0" xfId="0" applyFill="1"/>
    <xf numFmtId="0" fontId="4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0" xfId="0" quotePrefix="1"/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8" borderId="10" xfId="0" applyFill="1" applyBorder="1"/>
    <xf numFmtId="0" fontId="0" fillId="8" borderId="10" xfId="0" applyFill="1" applyBorder="1" applyAlignment="1">
      <alignment horizontal="center"/>
    </xf>
  </cellXfs>
  <cellStyles count="6">
    <cellStyle name="Comma 2" xfId="4" xr:uid="{34BB63AC-71E3-4420-944B-1459E518B6A9}"/>
    <cellStyle name="Fixed" xfId="2" xr:uid="{AE7014A6-ED2A-4DF8-AF56-D97475A60087}"/>
    <cellStyle name="Normal" xfId="0" builtinId="0"/>
    <cellStyle name="Normal 10" xfId="1" xr:uid="{AA2A1D97-0240-4C20-8B52-9423C7E4F6D3}"/>
    <cellStyle name="Normal 2" xfId="3" xr:uid="{41B95EBB-758C-4BA0-AB2F-A70730D612D8}"/>
    <cellStyle name="Normal 9" xfId="5" xr:uid="{5C1AB3E7-16BA-4161-B156-64E3BD12F6D8}"/>
  </cellStyles>
  <dxfs count="0"/>
  <tableStyles count="0" defaultTableStyle="TableStyleMedium2" defaultPivotStyle="PivotStyleLight16"/>
  <colors>
    <mruColors>
      <color rgb="FFFF5050"/>
      <color rgb="FF00CC66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152400</xdr:rowOff>
        </xdr:from>
        <xdr:to>
          <xdr:col>10</xdr:col>
          <xdr:colOff>390525</xdr:colOff>
          <xdr:row>5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Story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609600</xdr:colOff>
          <xdr:row>0</xdr:row>
          <xdr:rowOff>152400</xdr:rowOff>
        </xdr:from>
        <xdr:to>
          <xdr:col>14</xdr:col>
          <xdr:colOff>285750</xdr:colOff>
          <xdr:row>5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Groups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biaxial-worksheet/batch_run_221208-104953/1.0_RBG-SS-Concrete_Cross_Section_AS5100.5(A1)-20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ram-rundown/RBG-SS-Rundown(RAM_bulk)_Plus_Desig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an.francis/Downloads/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Main"/>
      <sheetName val="InteractionPlot_MajorAxis"/>
      <sheetName val="RSB_MajorAxis"/>
      <sheetName val="InteractionPlot_MinorAxis"/>
      <sheetName val="RSB_MinorAxis"/>
    </sheetNames>
    <sheetDataSet>
      <sheetData sheetId="0" refreshError="1"/>
      <sheetData sheetId="1">
        <row r="7">
          <cell r="U7">
            <v>500</v>
          </cell>
        </row>
        <row r="8">
          <cell r="U8">
            <v>1800</v>
          </cell>
        </row>
        <row r="9">
          <cell r="U9">
            <v>30</v>
          </cell>
        </row>
        <row r="10">
          <cell r="U10">
            <v>30</v>
          </cell>
        </row>
        <row r="11">
          <cell r="U11">
            <v>30</v>
          </cell>
        </row>
        <row r="12">
          <cell r="U12">
            <v>30</v>
          </cell>
        </row>
        <row r="14">
          <cell r="U14">
            <v>10</v>
          </cell>
        </row>
        <row r="15">
          <cell r="U15">
            <v>1</v>
          </cell>
        </row>
        <row r="17">
          <cell r="U17" t="str">
            <v>Braced</v>
          </cell>
        </row>
        <row r="18">
          <cell r="U18" t="str">
            <v>Yes</v>
          </cell>
        </row>
        <row r="19">
          <cell r="U19">
            <v>5</v>
          </cell>
        </row>
        <row r="20">
          <cell r="U20">
            <v>1</v>
          </cell>
        </row>
        <row r="22">
          <cell r="U22" t="str">
            <v>Braced</v>
          </cell>
        </row>
        <row r="23">
          <cell r="U23" t="str">
            <v>Yes</v>
          </cell>
        </row>
        <row r="25">
          <cell r="U25" t="str">
            <v>N40</v>
          </cell>
        </row>
        <row r="26">
          <cell r="U26">
            <v>40</v>
          </cell>
        </row>
        <row r="27">
          <cell r="U27">
            <v>32612.920840079922</v>
          </cell>
        </row>
        <row r="28">
          <cell r="U28">
            <v>2.8</v>
          </cell>
        </row>
        <row r="29">
          <cell r="U29">
            <v>10</v>
          </cell>
        </row>
        <row r="31">
          <cell r="U31">
            <v>500</v>
          </cell>
        </row>
        <row r="32">
          <cell r="U32">
            <v>500</v>
          </cell>
        </row>
        <row r="33">
          <cell r="U33">
            <v>200000</v>
          </cell>
        </row>
        <row r="35">
          <cell r="U35">
            <v>1830</v>
          </cell>
        </row>
        <row r="36">
          <cell r="U36">
            <v>1500.6</v>
          </cell>
        </row>
        <row r="37">
          <cell r="U37">
            <v>15.2</v>
          </cell>
        </row>
        <row r="38">
          <cell r="U38">
            <v>143</v>
          </cell>
        </row>
        <row r="39">
          <cell r="U39">
            <v>0.75</v>
          </cell>
        </row>
        <row r="40">
          <cell r="U40">
            <v>196.26750000000001</v>
          </cell>
        </row>
        <row r="41">
          <cell r="U41">
            <v>0</v>
          </cell>
        </row>
        <row r="42">
          <cell r="U42">
            <v>1372.5</v>
          </cell>
        </row>
        <row r="43">
          <cell r="U43">
            <v>200000</v>
          </cell>
        </row>
        <row r="44">
          <cell r="U44">
            <v>0.5</v>
          </cell>
        </row>
        <row r="46">
          <cell r="S46" t="str">
            <v>Temperate (inland)</v>
          </cell>
        </row>
        <row r="47">
          <cell r="U47">
            <v>1E-3</v>
          </cell>
        </row>
        <row r="48">
          <cell r="U48" t="str">
            <v>B1</v>
          </cell>
        </row>
        <row r="49">
          <cell r="U49" t="str">
            <v>Long Term</v>
          </cell>
        </row>
        <row r="50">
          <cell r="U50">
            <v>18</v>
          </cell>
        </row>
        <row r="51">
          <cell r="U51">
            <v>10950</v>
          </cell>
        </row>
        <row r="52">
          <cell r="U52">
            <v>4000</v>
          </cell>
        </row>
        <row r="53">
          <cell r="S53" t="str">
            <v>Post-tensioned</v>
          </cell>
        </row>
        <row r="57">
          <cell r="O57" t="str">
            <v>6N28</v>
          </cell>
          <cell r="V57">
            <v>429</v>
          </cell>
          <cell r="AF57">
            <v>0.1</v>
          </cell>
        </row>
        <row r="58">
          <cell r="O58" t="str">
            <v>2N32</v>
          </cell>
          <cell r="V58">
            <v>400</v>
          </cell>
          <cell r="AF58">
            <v>0.1</v>
          </cell>
        </row>
        <row r="59">
          <cell r="O59" t="str">
            <v>2N32</v>
          </cell>
          <cell r="V59">
            <v>400</v>
          </cell>
          <cell r="AF59">
            <v>0.1</v>
          </cell>
        </row>
        <row r="60">
          <cell r="O60" t="str">
            <v>6N28</v>
          </cell>
          <cell r="V60">
            <v>65</v>
          </cell>
          <cell r="AF60">
            <v>0.1</v>
          </cell>
        </row>
        <row r="61">
          <cell r="O61" t="str">
            <v>2N32</v>
          </cell>
          <cell r="V61">
            <v>100</v>
          </cell>
          <cell r="AF61">
            <v>0.1</v>
          </cell>
        </row>
        <row r="62">
          <cell r="O62" t="str">
            <v>2N32</v>
          </cell>
          <cell r="V62">
            <v>150</v>
          </cell>
          <cell r="AF62">
            <v>0.1</v>
          </cell>
        </row>
        <row r="69">
          <cell r="O69" t="str">
            <v>2N28</v>
          </cell>
          <cell r="V69">
            <v>50</v>
          </cell>
          <cell r="AF69">
            <v>0.1</v>
          </cell>
        </row>
        <row r="70">
          <cell r="O70" t="str">
            <v>2N28</v>
          </cell>
          <cell r="V70">
            <v>1750</v>
          </cell>
          <cell r="AF70">
            <v>0.1</v>
          </cell>
        </row>
        <row r="81">
          <cell r="O81" t="str">
            <v>1N20</v>
          </cell>
          <cell r="V81">
            <v>310</v>
          </cell>
          <cell r="AD81">
            <v>150</v>
          </cell>
        </row>
        <row r="82">
          <cell r="O82" t="str">
            <v>4N20</v>
          </cell>
          <cell r="V82">
            <v>1240</v>
          </cell>
          <cell r="AD82">
            <v>200</v>
          </cell>
          <cell r="AN82">
            <v>90</v>
          </cell>
        </row>
        <row r="83">
          <cell r="O83" t="str">
            <v>3N16</v>
          </cell>
          <cell r="V83">
            <v>600</v>
          </cell>
          <cell r="AD83">
            <v>200</v>
          </cell>
          <cell r="AN83">
            <v>90</v>
          </cell>
        </row>
        <row r="116">
          <cell r="R116">
            <v>0</v>
          </cell>
        </row>
        <row r="117">
          <cell r="R117">
            <v>0</v>
          </cell>
        </row>
        <row r="119">
          <cell r="R119">
            <v>0</v>
          </cell>
        </row>
        <row r="125">
          <cell r="R125">
            <v>1000</v>
          </cell>
        </row>
        <row r="126">
          <cell r="R126">
            <v>50</v>
          </cell>
        </row>
        <row r="127">
          <cell r="R127">
            <v>0.9</v>
          </cell>
        </row>
        <row r="128">
          <cell r="R128">
            <v>200</v>
          </cell>
        </row>
        <row r="129">
          <cell r="R129">
            <v>750</v>
          </cell>
        </row>
        <row r="130">
          <cell r="R130">
            <v>850</v>
          </cell>
        </row>
        <row r="131">
          <cell r="R131" t="str">
            <v>No</v>
          </cell>
        </row>
        <row r="132">
          <cell r="R132">
            <v>750</v>
          </cell>
          <cell r="AA132">
            <v>-750</v>
          </cell>
        </row>
        <row r="133">
          <cell r="R133">
            <v>25</v>
          </cell>
        </row>
        <row r="134">
          <cell r="R134">
            <v>0</v>
          </cell>
        </row>
        <row r="135">
          <cell r="R135">
            <v>0</v>
          </cell>
        </row>
        <row r="136">
          <cell r="R136" t="str">
            <v>No</v>
          </cell>
        </row>
        <row r="137">
          <cell r="R137">
            <v>0</v>
          </cell>
          <cell r="AA137">
            <v>0</v>
          </cell>
        </row>
        <row r="138">
          <cell r="R138">
            <v>90</v>
          </cell>
        </row>
        <row r="141">
          <cell r="R141">
            <v>0</v>
          </cell>
        </row>
        <row r="142">
          <cell r="R142">
            <v>500</v>
          </cell>
        </row>
        <row r="143">
          <cell r="R143">
            <v>1000</v>
          </cell>
        </row>
        <row r="146">
          <cell r="W146">
            <v>900000</v>
          </cell>
        </row>
        <row r="147">
          <cell r="W147">
            <v>18750000000</v>
          </cell>
        </row>
        <row r="148">
          <cell r="W148">
            <v>243000000000</v>
          </cell>
        </row>
        <row r="149">
          <cell r="W149">
            <v>144.33756729740642</v>
          </cell>
        </row>
        <row r="150">
          <cell r="W150">
            <v>519.6152422706632</v>
          </cell>
        </row>
        <row r="151">
          <cell r="W151">
            <v>250</v>
          </cell>
        </row>
        <row r="152">
          <cell r="W152">
            <v>900</v>
          </cell>
        </row>
        <row r="155">
          <cell r="W155">
            <v>450</v>
          </cell>
        </row>
        <row r="156">
          <cell r="W156" t="str">
            <v>Reinforced</v>
          </cell>
        </row>
        <row r="159">
          <cell r="W159">
            <v>3.0000000000000001E-3</v>
          </cell>
        </row>
        <row r="160">
          <cell r="W160">
            <v>2.5000000000000001E-3</v>
          </cell>
        </row>
        <row r="161">
          <cell r="W161">
            <v>7.5029999999999993E-3</v>
          </cell>
        </row>
        <row r="162">
          <cell r="W162">
            <v>-6.8624999999999997E-3</v>
          </cell>
        </row>
        <row r="163">
          <cell r="W163">
            <v>0.85</v>
          </cell>
        </row>
        <row r="164">
          <cell r="W164">
            <v>0.85</v>
          </cell>
        </row>
        <row r="165">
          <cell r="W165">
            <v>0.77</v>
          </cell>
        </row>
        <row r="166">
          <cell r="W166">
            <v>3.7947331922020551</v>
          </cell>
        </row>
        <row r="168">
          <cell r="W168" t="str">
            <v>Bottom</v>
          </cell>
        </row>
        <row r="169">
          <cell r="W169">
            <v>75000000</v>
          </cell>
        </row>
        <row r="170">
          <cell r="W170">
            <v>341.52598729818499</v>
          </cell>
        </row>
        <row r="171">
          <cell r="W171">
            <v>1592.1957449798836</v>
          </cell>
        </row>
        <row r="172">
          <cell r="W172">
            <v>415.58959537572252</v>
          </cell>
        </row>
        <row r="173">
          <cell r="W173">
            <v>429</v>
          </cell>
        </row>
        <row r="175">
          <cell r="W175">
            <v>750</v>
          </cell>
        </row>
        <row r="180">
          <cell r="W180">
            <v>653.2226713724931</v>
          </cell>
        </row>
        <row r="182">
          <cell r="W182">
            <v>18492.863999999998</v>
          </cell>
        </row>
        <row r="186">
          <cell r="W186">
            <v>-1</v>
          </cell>
        </row>
        <row r="187">
          <cell r="W187">
            <v>10</v>
          </cell>
        </row>
        <row r="188">
          <cell r="W188">
            <v>69.282032302755098</v>
          </cell>
        </row>
        <row r="189">
          <cell r="W189">
            <v>2.2986246819721194</v>
          </cell>
        </row>
        <row r="190">
          <cell r="W190" t="str">
            <v>Slender</v>
          </cell>
        </row>
        <row r="192">
          <cell r="W192">
            <v>0.9</v>
          </cell>
        </row>
        <row r="193">
          <cell r="W193">
            <v>4433.6582542541164</v>
          </cell>
        </row>
        <row r="194">
          <cell r="W194">
            <v>1</v>
          </cell>
        </row>
        <row r="195">
          <cell r="W195">
            <v>1.291234574308918</v>
          </cell>
        </row>
        <row r="196">
          <cell r="W196">
            <v>1.291234574308918</v>
          </cell>
        </row>
        <row r="197">
          <cell r="W197">
            <v>968.42593073168848</v>
          </cell>
        </row>
        <row r="198">
          <cell r="W198">
            <v>968.42593073168848</v>
          </cell>
        </row>
        <row r="201">
          <cell r="W201">
            <v>1093.1692079134089</v>
          </cell>
        </row>
        <row r="202">
          <cell r="W202">
            <v>341.18642627522308</v>
          </cell>
        </row>
        <row r="203">
          <cell r="W203">
            <v>213.88993613535735</v>
          </cell>
        </row>
        <row r="205">
          <cell r="W205" t="str">
            <v>Left</v>
          </cell>
        </row>
        <row r="206">
          <cell r="W206">
            <v>270000000</v>
          </cell>
        </row>
        <row r="207">
          <cell r="W207">
            <v>1229.4935542734659</v>
          </cell>
        </row>
        <row r="208">
          <cell r="W208">
            <v>1405.1354905982464</v>
          </cell>
        </row>
        <row r="209">
          <cell r="W209">
            <v>1750</v>
          </cell>
        </row>
        <row r="210">
          <cell r="W210">
            <v>1750</v>
          </cell>
        </row>
        <row r="212">
          <cell r="W212">
            <v>90</v>
          </cell>
        </row>
        <row r="217">
          <cell r="W217">
            <v>730.82992155147895</v>
          </cell>
        </row>
        <row r="219">
          <cell r="W219">
            <v>18383.808000000001</v>
          </cell>
        </row>
        <row r="223">
          <cell r="W223">
            <v>-1</v>
          </cell>
        </row>
        <row r="224">
          <cell r="W224">
            <v>5</v>
          </cell>
        </row>
        <row r="225">
          <cell r="W225">
            <v>9.6225044864937619</v>
          </cell>
        </row>
        <row r="226">
          <cell r="W226">
            <v>2.291836942591809</v>
          </cell>
        </row>
        <row r="227">
          <cell r="W227" t="str">
            <v>Stocky</v>
          </cell>
        </row>
        <row r="229">
          <cell r="W229">
            <v>0.9</v>
          </cell>
        </row>
        <row r="230">
          <cell r="W230">
            <v>267487.53071573266</v>
          </cell>
        </row>
        <row r="231">
          <cell r="W231">
            <v>1</v>
          </cell>
        </row>
        <row r="232">
          <cell r="W232">
            <v>1.0037525207926772</v>
          </cell>
        </row>
        <row r="233">
          <cell r="W233">
            <v>1.0037525207926772</v>
          </cell>
        </row>
        <row r="234">
          <cell r="W234">
            <v>90</v>
          </cell>
        </row>
        <row r="235">
          <cell r="W235">
            <v>90</v>
          </cell>
        </row>
        <row r="238">
          <cell r="W238">
            <v>4041.92238</v>
          </cell>
        </row>
        <row r="239">
          <cell r="W239">
            <v>938.6510500251743</v>
          </cell>
        </row>
        <row r="240">
          <cell r="W240">
            <v>16282.100974081623</v>
          </cell>
        </row>
        <row r="242">
          <cell r="W242" t="str">
            <v>Yes</v>
          </cell>
        </row>
        <row r="243">
          <cell r="W243">
            <v>1</v>
          </cell>
        </row>
        <row r="244">
          <cell r="W244">
            <v>2.9342892479619649</v>
          </cell>
        </row>
        <row r="245">
          <cell r="W245" t="str">
            <v>No</v>
          </cell>
        </row>
        <row r="269">
          <cell r="W269">
            <v>0.7</v>
          </cell>
        </row>
        <row r="270">
          <cell r="W270">
            <v>0.7</v>
          </cell>
        </row>
        <row r="271">
          <cell r="W271">
            <v>4280</v>
          </cell>
        </row>
        <row r="272">
          <cell r="W272">
            <v>722400</v>
          </cell>
        </row>
        <row r="273">
          <cell r="W273">
            <v>614040</v>
          </cell>
        </row>
        <row r="275">
          <cell r="W275">
            <v>900000</v>
          </cell>
        </row>
        <row r="276">
          <cell r="W276">
            <v>4600</v>
          </cell>
        </row>
        <row r="277">
          <cell r="W277">
            <v>5.5555555555555559E-2</v>
          </cell>
        </row>
        <row r="278">
          <cell r="W278">
            <v>372.37084093567699</v>
          </cell>
        </row>
        <row r="279">
          <cell r="W279" t="str">
            <v>Yes</v>
          </cell>
        </row>
        <row r="280">
          <cell r="W280">
            <v>200</v>
          </cell>
        </row>
        <row r="281">
          <cell r="W281">
            <v>-50</v>
          </cell>
        </row>
        <row r="282">
          <cell r="W282">
            <v>750</v>
          </cell>
        </row>
        <row r="283">
          <cell r="W283">
            <v>0</v>
          </cell>
        </row>
        <row r="284">
          <cell r="W284">
            <v>1720</v>
          </cell>
        </row>
        <row r="285">
          <cell r="W285">
            <v>2.0666666666666669</v>
          </cell>
        </row>
        <row r="286">
          <cell r="W286">
            <v>0.45167621127504998</v>
          </cell>
        </row>
        <row r="287">
          <cell r="W287">
            <v>1192.6607374330767</v>
          </cell>
        </row>
        <row r="288">
          <cell r="W288">
            <v>357.95656354998658</v>
          </cell>
        </row>
        <row r="289">
          <cell r="W289">
            <v>150</v>
          </cell>
        </row>
        <row r="290">
          <cell r="W290">
            <v>300</v>
          </cell>
        </row>
        <row r="292">
          <cell r="W292">
            <v>1800</v>
          </cell>
        </row>
        <row r="293">
          <cell r="W293">
            <v>374.03063583815026</v>
          </cell>
        </row>
        <row r="294">
          <cell r="W294">
            <v>6920</v>
          </cell>
        </row>
        <row r="295">
          <cell r="W295">
            <v>0</v>
          </cell>
        </row>
        <row r="296">
          <cell r="W296">
            <v>450000</v>
          </cell>
        </row>
        <row r="300">
          <cell r="W300">
            <v>1.0970401538115491E-3</v>
          </cell>
        </row>
        <row r="301">
          <cell r="W301">
            <v>9.6402052368673825</v>
          </cell>
        </row>
        <row r="302">
          <cell r="W302">
            <v>1.8214719322569868</v>
          </cell>
        </row>
        <row r="303">
          <cell r="W303">
            <v>1.2307692307692308</v>
          </cell>
        </row>
        <row r="304">
          <cell r="W304">
            <v>0.15119670886931311</v>
          </cell>
        </row>
        <row r="305">
          <cell r="W305">
            <v>36.679281076680844</v>
          </cell>
        </row>
        <row r="306">
          <cell r="W306">
            <v>643.80154444518087</v>
          </cell>
        </row>
        <row r="307">
          <cell r="W307">
            <v>450.66108111162657</v>
          </cell>
        </row>
        <row r="308">
          <cell r="W308" t="str">
            <v>Yes</v>
          </cell>
        </row>
        <row r="310">
          <cell r="W310">
            <v>1694.3896289095126</v>
          </cell>
        </row>
        <row r="311">
          <cell r="W311">
            <v>2145.0507100211389</v>
          </cell>
        </row>
        <row r="312">
          <cell r="W312">
            <v>4966.9337281973849</v>
          </cell>
        </row>
        <row r="313">
          <cell r="W313">
            <v>4924.2709720388784</v>
          </cell>
        </row>
        <row r="314">
          <cell r="W314">
            <v>0.9</v>
          </cell>
        </row>
        <row r="315">
          <cell r="W315">
            <v>3.7662867033838805</v>
          </cell>
        </row>
        <row r="316">
          <cell r="W316">
            <v>344</v>
          </cell>
        </row>
        <row r="317">
          <cell r="W317">
            <v>500</v>
          </cell>
        </row>
        <row r="318">
          <cell r="W318">
            <v>200</v>
          </cell>
        </row>
        <row r="319">
          <cell r="W319">
            <v>250</v>
          </cell>
        </row>
        <row r="320">
          <cell r="W320">
            <v>0.7990671786908482</v>
          </cell>
        </row>
        <row r="321">
          <cell r="W321">
            <v>361.72285025337044</v>
          </cell>
        </row>
        <row r="322">
          <cell r="W322">
            <v>2701.5413314142097</v>
          </cell>
        </row>
        <row r="323">
          <cell r="W323">
            <v>0</v>
          </cell>
        </row>
        <row r="324">
          <cell r="W324">
            <v>2764.772438270335</v>
          </cell>
        </row>
        <row r="326">
          <cell r="W326">
            <v>0</v>
          </cell>
        </row>
        <row r="327">
          <cell r="W327">
            <v>372</v>
          </cell>
        </row>
        <row r="328">
          <cell r="W328">
            <v>148.62649523649779</v>
          </cell>
        </row>
        <row r="331">
          <cell r="W331">
            <v>500</v>
          </cell>
        </row>
        <row r="332">
          <cell r="W332">
            <v>1719.8821692200661</v>
          </cell>
        </row>
        <row r="333">
          <cell r="W333">
            <v>1240</v>
          </cell>
        </row>
        <row r="334">
          <cell r="W334">
            <v>0</v>
          </cell>
        </row>
        <row r="335">
          <cell r="W335">
            <v>450000</v>
          </cell>
        </row>
        <row r="339">
          <cell r="W339">
            <v>1.2143562413712671E-3</v>
          </cell>
        </row>
        <row r="340">
          <cell r="W340">
            <v>6.4402052368673814</v>
          </cell>
        </row>
        <row r="341">
          <cell r="W341">
            <v>0.50596442562694077</v>
          </cell>
        </row>
        <row r="342">
          <cell r="W342">
            <v>1.2307692307692308</v>
          </cell>
        </row>
        <row r="343">
          <cell r="W343">
            <v>0.1417668362927183</v>
          </cell>
        </row>
        <row r="344">
          <cell r="W344">
            <v>37.500493689598869</v>
          </cell>
        </row>
        <row r="345">
          <cell r="W345">
            <v>771.03366664394605</v>
          </cell>
        </row>
        <row r="346">
          <cell r="W346">
            <v>539.72356665076222</v>
          </cell>
        </row>
        <row r="347">
          <cell r="W347" t="str">
            <v>Yes</v>
          </cell>
        </row>
        <row r="349">
          <cell r="W349">
            <v>5052.1731288472083</v>
          </cell>
        </row>
        <row r="350">
          <cell r="W350">
            <v>5591.8966954979705</v>
          </cell>
        </row>
        <row r="351">
          <cell r="W351">
            <v>6395.9521635728597</v>
          </cell>
        </row>
        <row r="352">
          <cell r="W352">
            <v>6341.9041435679919</v>
          </cell>
        </row>
        <row r="353">
          <cell r="W353">
            <v>0.9</v>
          </cell>
        </row>
        <row r="354">
          <cell r="W354">
            <v>0</v>
          </cell>
        </row>
        <row r="355">
          <cell r="W355">
            <v>105</v>
          </cell>
        </row>
        <row r="356">
          <cell r="W356">
            <v>600</v>
          </cell>
        </row>
        <row r="357">
          <cell r="W357">
            <v>200</v>
          </cell>
        </row>
        <row r="358">
          <cell r="W358">
            <v>300</v>
          </cell>
        </row>
        <row r="359">
          <cell r="W359">
            <v>0.79919697032965975</v>
          </cell>
        </row>
        <row r="360">
          <cell r="W360">
            <v>0</v>
          </cell>
        </row>
        <row r="361">
          <cell r="W361">
            <v>27.329166271206411</v>
          </cell>
        </row>
        <row r="362">
          <cell r="W362">
            <v>0</v>
          </cell>
        </row>
        <row r="363">
          <cell r="W363">
            <v>495.50212160438906</v>
          </cell>
        </row>
        <row r="365">
          <cell r="W365">
            <v>0</v>
          </cell>
        </row>
        <row r="366">
          <cell r="W366">
            <v>124</v>
          </cell>
        </row>
        <row r="367">
          <cell r="W367">
            <v>49.550212160438903</v>
          </cell>
        </row>
        <row r="371">
          <cell r="W371">
            <v>6.9999999999999994E-5</v>
          </cell>
        </row>
        <row r="372">
          <cell r="W372">
            <v>6.7999999999999994E-4</v>
          </cell>
        </row>
        <row r="373">
          <cell r="W373">
            <v>0.9264790694742373</v>
          </cell>
        </row>
        <row r="374">
          <cell r="W374">
            <v>0.89118198172009477</v>
          </cell>
        </row>
        <row r="375">
          <cell r="W375">
            <v>0.6</v>
          </cell>
        </row>
        <row r="376">
          <cell r="W376">
            <v>3.6360224854179867E-4</v>
          </cell>
        </row>
        <row r="379">
          <cell r="W379">
            <v>1.0306025691409677</v>
          </cell>
        </row>
        <row r="380">
          <cell r="W380">
            <v>0.99133857438795392</v>
          </cell>
        </row>
        <row r="381">
          <cell r="W381">
            <v>1.1971945713390955</v>
          </cell>
        </row>
        <row r="382">
          <cell r="W382">
            <v>1.1320238291654092</v>
          </cell>
        </row>
        <row r="383">
          <cell r="W383">
            <v>1</v>
          </cell>
        </row>
        <row r="384">
          <cell r="W384">
            <v>1.9938662681553778</v>
          </cell>
        </row>
        <row r="385">
          <cell r="W385">
            <v>32612.920840079922</v>
          </cell>
        </row>
        <row r="387">
          <cell r="W387">
            <v>6.132538725394026</v>
          </cell>
        </row>
        <row r="388">
          <cell r="W388">
            <v>10893.245696032323</v>
          </cell>
        </row>
        <row r="392">
          <cell r="W392" t="str">
            <v>Case (c)(i)</v>
          </cell>
        </row>
        <row r="393">
          <cell r="W393">
            <v>0.8</v>
          </cell>
        </row>
        <row r="394">
          <cell r="W394">
            <v>3.4</v>
          </cell>
        </row>
        <row r="395">
          <cell r="W395">
            <v>0.3</v>
          </cell>
        </row>
        <row r="396">
          <cell r="W396">
            <v>0.5</v>
          </cell>
        </row>
        <row r="397">
          <cell r="W397">
            <v>0.4</v>
          </cell>
        </row>
        <row r="398">
          <cell r="W398">
            <v>3.5088212858554391</v>
          </cell>
        </row>
        <row r="402">
          <cell r="W402">
            <v>1</v>
          </cell>
        </row>
        <row r="403">
          <cell r="W403">
            <v>1</v>
          </cell>
        </row>
        <row r="404">
          <cell r="W404">
            <v>500</v>
          </cell>
        </row>
        <row r="408">
          <cell r="W408">
            <v>157.36104725279026</v>
          </cell>
        </row>
        <row r="409">
          <cell r="W409">
            <v>-3.0929800651109379E-3</v>
          </cell>
        </row>
        <row r="410">
          <cell r="W410">
            <v>0</v>
          </cell>
        </row>
        <row r="413">
          <cell r="W413" t="str">
            <v>-</v>
          </cell>
        </row>
        <row r="438">
          <cell r="W438">
            <v>0.5</v>
          </cell>
        </row>
        <row r="439">
          <cell r="W439">
            <v>114.2129842490699</v>
          </cell>
        </row>
        <row r="440">
          <cell r="W440">
            <v>692</v>
          </cell>
        </row>
        <row r="441">
          <cell r="W441">
            <v>0</v>
          </cell>
        </row>
        <row r="442">
          <cell r="W442">
            <v>204891.37164832582</v>
          </cell>
        </row>
        <row r="443">
          <cell r="W443">
            <v>32</v>
          </cell>
        </row>
        <row r="444">
          <cell r="W444">
            <v>0</v>
          </cell>
        </row>
        <row r="445">
          <cell r="W445">
            <v>0</v>
          </cell>
        </row>
        <row r="446">
          <cell r="W446">
            <v>3.3773994211320144E-3</v>
          </cell>
        </row>
        <row r="447">
          <cell r="W447">
            <v>29.72972972972973</v>
          </cell>
        </row>
        <row r="448">
          <cell r="W448" t="str">
            <v>No</v>
          </cell>
        </row>
        <row r="449">
          <cell r="W449">
            <v>445.43063857137264</v>
          </cell>
        </row>
        <row r="450">
          <cell r="W450">
            <v>490.41351487820504</v>
          </cell>
        </row>
        <row r="451">
          <cell r="W451">
            <v>1.4712405446346151E-3</v>
          </cell>
        </row>
        <row r="452">
          <cell r="W452">
            <v>0.65533561528869066</v>
          </cell>
        </row>
        <row r="456">
          <cell r="W456">
            <v>1</v>
          </cell>
        </row>
        <row r="457">
          <cell r="W457">
            <v>1</v>
          </cell>
        </row>
        <row r="458">
          <cell r="W458">
            <v>1000</v>
          </cell>
        </row>
        <row r="462">
          <cell r="W462">
            <v>453.71888124403807</v>
          </cell>
        </row>
        <row r="463">
          <cell r="W463">
            <v>-2.9579179046446747E-3</v>
          </cell>
        </row>
        <row r="464">
          <cell r="W464">
            <v>0</v>
          </cell>
        </row>
        <row r="467">
          <cell r="W467" t="str">
            <v>-</v>
          </cell>
        </row>
        <row r="492">
          <cell r="W492">
            <v>0.5</v>
          </cell>
        </row>
        <row r="493">
          <cell r="W493">
            <v>125</v>
          </cell>
        </row>
        <row r="494">
          <cell r="W494">
            <v>124</v>
          </cell>
        </row>
        <row r="495">
          <cell r="W495">
            <v>0</v>
          </cell>
        </row>
        <row r="496">
          <cell r="W496">
            <v>62376</v>
          </cell>
        </row>
        <row r="497">
          <cell r="W497">
            <v>28</v>
          </cell>
        </row>
        <row r="498">
          <cell r="W498">
            <v>0</v>
          </cell>
        </row>
        <row r="499">
          <cell r="W499">
            <v>0</v>
          </cell>
        </row>
        <row r="500">
          <cell r="W500">
            <v>1.9879440810568168E-3</v>
          </cell>
        </row>
        <row r="501">
          <cell r="W501">
            <v>28</v>
          </cell>
        </row>
        <row r="502">
          <cell r="W502" t="str">
            <v>No</v>
          </cell>
        </row>
        <row r="503">
          <cell r="W503">
            <v>1750.1654543827506</v>
          </cell>
        </row>
        <row r="504">
          <cell r="W504">
            <v>569.61255375314011</v>
          </cell>
        </row>
        <row r="505">
          <cell r="W505">
            <v>1.7088376612594202E-3</v>
          </cell>
        </row>
        <row r="506">
          <cell r="W506">
            <v>2.99074864188445</v>
          </cell>
        </row>
      </sheetData>
      <sheetData sheetId="2" refreshError="1"/>
      <sheetData sheetId="3">
        <row r="4">
          <cell r="B4">
            <v>415.58959537572252</v>
          </cell>
        </row>
        <row r="5">
          <cell r="B5">
            <v>429</v>
          </cell>
        </row>
        <row r="8">
          <cell r="D8">
            <v>0.17120499995593325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341.18642627522308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213.88993613535735</v>
          </cell>
        </row>
        <row r="210">
          <cell r="D210">
            <v>3026.08</v>
          </cell>
        </row>
        <row r="211">
          <cell r="D211">
            <v>816.52833921561626</v>
          </cell>
        </row>
        <row r="212">
          <cell r="C212">
            <v>-553.6</v>
          </cell>
          <cell r="O212">
            <v>6432.1000615384637</v>
          </cell>
          <cell r="Z212">
            <v>14236.088640000002</v>
          </cell>
          <cell r="AA212">
            <v>18492.863999999998</v>
          </cell>
        </row>
        <row r="213">
          <cell r="O213">
            <v>1093.1692079134089</v>
          </cell>
          <cell r="Z213">
            <v>830.8339497407984</v>
          </cell>
        </row>
        <row r="214">
          <cell r="D214">
            <v>317.14907760355493</v>
          </cell>
        </row>
        <row r="215">
          <cell r="D215">
            <v>1012</v>
          </cell>
        </row>
        <row r="216">
          <cell r="D216">
            <v>372</v>
          </cell>
        </row>
        <row r="217">
          <cell r="D217">
            <v>0</v>
          </cell>
        </row>
        <row r="224">
          <cell r="F224">
            <v>-43184425.284000002</v>
          </cell>
          <cell r="N224">
            <v>157.36104725279026</v>
          </cell>
        </row>
        <row r="339">
          <cell r="N339">
            <v>-3.0929800651109379E-3</v>
          </cell>
        </row>
        <row r="340">
          <cell r="N340">
            <v>0</v>
          </cell>
        </row>
        <row r="430">
          <cell r="C430">
            <v>0</v>
          </cell>
          <cell r="F430">
            <v>500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  <sheetData sheetId="4" refreshError="1"/>
      <sheetData sheetId="5">
        <row r="4">
          <cell r="B4">
            <v>1750</v>
          </cell>
        </row>
        <row r="5">
          <cell r="B5">
            <v>1750</v>
          </cell>
        </row>
        <row r="8">
          <cell r="D8">
            <v>4.3906030534723826E-2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938.6510500251743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16282.100974081623</v>
          </cell>
        </row>
        <row r="210">
          <cell r="D210">
            <v>927.6</v>
          </cell>
        </row>
        <row r="211">
          <cell r="D211">
            <v>913.53740193934868</v>
          </cell>
        </row>
        <row r="212">
          <cell r="C212">
            <v>-99.2</v>
          </cell>
          <cell r="O212">
            <v>7471.7040000000006</v>
          </cell>
          <cell r="Z212">
            <v>14150.343999999997</v>
          </cell>
          <cell r="AA212">
            <v>18383.808000000001</v>
          </cell>
        </row>
        <row r="213">
          <cell r="O213">
            <v>4041.92238</v>
          </cell>
          <cell r="Z213">
            <v>2951.7301280000015</v>
          </cell>
        </row>
        <row r="214">
          <cell r="D214">
            <v>1719.8821692200661</v>
          </cell>
        </row>
        <row r="215">
          <cell r="D215">
            <v>124</v>
          </cell>
        </row>
        <row r="216">
          <cell r="D216">
            <v>124</v>
          </cell>
        </row>
        <row r="217">
          <cell r="D217">
            <v>0</v>
          </cell>
        </row>
        <row r="224">
          <cell r="F224">
            <v>-176160243</v>
          </cell>
          <cell r="N224">
            <v>453.71888124403807</v>
          </cell>
        </row>
        <row r="339">
          <cell r="N339">
            <v>-2.9579179046446747E-3</v>
          </cell>
        </row>
        <row r="340">
          <cell r="N340">
            <v>0</v>
          </cell>
        </row>
        <row r="430">
          <cell r="C430">
            <v>0</v>
          </cell>
          <cell r="F430">
            <v>1000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/>
          <cell r="P3"/>
          <cell r="Q3"/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/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/>
        </row>
        <row r="4">
          <cell r="M4" t="str">
            <v>C650A</v>
          </cell>
          <cell r="N4">
            <v>650</v>
          </cell>
          <cell r="O4"/>
          <cell r="P4"/>
          <cell r="Q4"/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/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/>
        </row>
        <row r="5">
          <cell r="M5" t="str">
            <v>C800A</v>
          </cell>
          <cell r="N5">
            <v>800</v>
          </cell>
          <cell r="O5"/>
          <cell r="P5"/>
          <cell r="Q5"/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/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/>
        </row>
        <row r="6">
          <cell r="M6" t="str">
            <v>C950A</v>
          </cell>
          <cell r="N6">
            <v>950</v>
          </cell>
          <cell r="O6"/>
          <cell r="P6"/>
          <cell r="Q6"/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/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/>
        </row>
        <row r="7">
          <cell r="M7" t="str">
            <v>C950B</v>
          </cell>
          <cell r="N7">
            <v>950</v>
          </cell>
          <cell r="O7"/>
          <cell r="P7"/>
          <cell r="Q7"/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/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/>
        </row>
        <row r="8">
          <cell r="B8" t="str">
            <v>S3</v>
          </cell>
          <cell r="M8" t="str">
            <v>C1100A</v>
          </cell>
          <cell r="N8">
            <v>1100</v>
          </cell>
          <cell r="O8"/>
          <cell r="P8"/>
          <cell r="Q8"/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/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/>
        </row>
        <row r="9">
          <cell r="B9" t="str">
            <v>U3</v>
          </cell>
          <cell r="M9" t="str">
            <v>C1100B</v>
          </cell>
          <cell r="N9">
            <v>1100</v>
          </cell>
          <cell r="O9"/>
          <cell r="P9"/>
          <cell r="Q9"/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/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/>
        </row>
        <row r="10">
          <cell r="M10" t="str">
            <v>C1250A</v>
          </cell>
          <cell r="N10">
            <v>1250</v>
          </cell>
          <cell r="O10"/>
          <cell r="P10"/>
          <cell r="Q10"/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/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/>
        </row>
        <row r="11">
          <cell r="B11" t="str">
            <v>Y</v>
          </cell>
          <cell r="M11" t="str">
            <v>C1250B</v>
          </cell>
          <cell r="N11">
            <v>1250</v>
          </cell>
          <cell r="O11"/>
          <cell r="P11"/>
          <cell r="Q11"/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/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/>
        </row>
        <row r="12">
          <cell r="B12">
            <v>25</v>
          </cell>
          <cell r="M12" t="str">
            <v>C1400A</v>
          </cell>
          <cell r="N12">
            <v>1400</v>
          </cell>
          <cell r="O12"/>
          <cell r="P12"/>
          <cell r="Q12"/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/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/>
        </row>
        <row r="13">
          <cell r="B13">
            <v>1.2</v>
          </cell>
          <cell r="M13" t="str">
            <v>C1400B</v>
          </cell>
          <cell r="N13">
            <v>1400</v>
          </cell>
          <cell r="O13"/>
          <cell r="P13"/>
          <cell r="Q13"/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/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/>
        </row>
        <row r="14">
          <cell r="B14">
            <v>1.5</v>
          </cell>
          <cell r="M14" t="str">
            <v>C1550A</v>
          </cell>
          <cell r="N14">
            <v>1550</v>
          </cell>
          <cell r="O14"/>
          <cell r="P14"/>
          <cell r="Q14"/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/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/>
        </row>
        <row r="15">
          <cell r="M15" t="str">
            <v>C1550B</v>
          </cell>
          <cell r="N15">
            <v>1550</v>
          </cell>
          <cell r="O15"/>
          <cell r="P15"/>
          <cell r="Q15"/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/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/>
        </row>
        <row r="16">
          <cell r="M16" t="str">
            <v>C1700A</v>
          </cell>
          <cell r="N16">
            <v>1700</v>
          </cell>
          <cell r="O16"/>
          <cell r="P16"/>
          <cell r="Q16"/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/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/>
        </row>
        <row r="17">
          <cell r="F17"/>
          <cell r="M17" t="str">
            <v>C1700B</v>
          </cell>
          <cell r="N17">
            <v>1700</v>
          </cell>
          <cell r="O17"/>
          <cell r="P17"/>
          <cell r="Q17"/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/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/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/>
          <cell r="P18"/>
          <cell r="Q18"/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/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/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/>
          <cell r="M19" t="str">
            <v>C1850B</v>
          </cell>
          <cell r="N19">
            <v>1850</v>
          </cell>
          <cell r="O19"/>
          <cell r="P19"/>
          <cell r="Q19"/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/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/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/>
          <cell r="P20"/>
          <cell r="Q20"/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/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/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/>
          <cell r="P21"/>
          <cell r="Q21"/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/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/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/>
          <cell r="P22"/>
          <cell r="Q22"/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/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/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/>
          <cell r="P23"/>
          <cell r="Q23"/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/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/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/>
          <cell r="P24"/>
          <cell r="Q24"/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/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/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/>
          <cell r="P25"/>
          <cell r="Q25"/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/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/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/>
          <cell r="P26"/>
          <cell r="Q26"/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/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/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/>
          <cell r="P27"/>
          <cell r="Q27"/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/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/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/>
          <cell r="P29"/>
          <cell r="Q29"/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/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/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/>
          <cell r="P30"/>
          <cell r="Q30"/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/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/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/>
          <cell r="P31"/>
          <cell r="Q31"/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/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/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/>
          <cell r="P32"/>
          <cell r="Q32"/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/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/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/>
          <cell r="Q34"/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/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/>
          <cell r="Q36"/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/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/>
          <cell r="Q38"/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/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/>
          <cell r="Q39"/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/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/>
          <cell r="Q41"/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/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/>
          <cell r="Q43"/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/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/>
          <cell r="Q44"/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/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/>
          <cell r="Q45"/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/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/>
          <cell r="Q46"/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/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/>
          <cell r="Q47"/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/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/>
          <cell r="Q48"/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/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/>
          <cell r="Q49"/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/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/>
          <cell r="Q50"/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/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/>
          <cell r="Q51"/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/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/>
          <cell r="Q52"/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/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/>
          <cell r="Q53"/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/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/>
          <cell r="Q54"/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/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/>
          <cell r="Q55"/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/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/>
          <cell r="Q56"/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/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/>
          <cell r="Q57"/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/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/>
          <cell r="Q59"/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/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/>
          <cell r="Q61"/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/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/>
          <cell r="Q63"/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/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/>
          <cell r="Q64"/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/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/>
          <cell r="Q65"/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/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/>
          <cell r="Q66"/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/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/>
          <cell r="Q67"/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/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/>
          <cell r="Q68"/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/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/>
          <cell r="Q69"/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/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/>
          <cell r="Q70"/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/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/>
          <cell r="Q71"/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/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/>
          <cell r="Q72"/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/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/>
          <cell r="Q73"/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/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/>
          <cell r="Q74"/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/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/>
          <cell r="Q75"/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/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/>
          <cell r="Q76"/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/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/>
          <cell r="Q77"/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/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/>
          <cell r="Q78"/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/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/>
          <cell r="Q79"/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/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</row>
        <row r="81">
          <cell r="A81" t="str">
            <v>Design Concrete Volume</v>
          </cell>
          <cell r="B81">
            <v>71</v>
          </cell>
          <cell r="F81"/>
          <cell r="G81"/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/>
          <cell r="Q81"/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/>
        </row>
        <row r="82">
          <cell r="A82" t="str">
            <v>Design Reinf. Weight</v>
          </cell>
          <cell r="B82">
            <v>72</v>
          </cell>
          <cell r="F82"/>
          <cell r="G82"/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/>
          <cell r="Q82"/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/>
        </row>
        <row r="83">
          <cell r="A83" t="str">
            <v>Comparison D</v>
          </cell>
          <cell r="B83">
            <v>73</v>
          </cell>
          <cell r="F83"/>
          <cell r="G83"/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/>
          <cell r="Q83"/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/>
        </row>
        <row r="84">
          <cell r="A84" t="str">
            <v>Comparison W</v>
          </cell>
          <cell r="B84">
            <v>74</v>
          </cell>
          <cell r="F84"/>
          <cell r="G84"/>
          <cell r="H84" t="str">
            <v/>
          </cell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</row>
        <row r="85">
          <cell r="A85" t="str">
            <v>Comparison f'c</v>
          </cell>
          <cell r="B85">
            <v>75</v>
          </cell>
          <cell r="F85"/>
          <cell r="G85"/>
          <cell r="H85" t="str">
            <v/>
          </cell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</row>
        <row r="86">
          <cell r="A86" t="str">
            <v>Comparison Rate</v>
          </cell>
          <cell r="B86">
            <v>76</v>
          </cell>
          <cell r="F86"/>
          <cell r="G86"/>
          <cell r="H86" t="str">
            <v/>
          </cell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</row>
        <row r="87">
          <cell r="A87" t="str">
            <v>Comparison Conc. Volume</v>
          </cell>
          <cell r="B87">
            <v>77</v>
          </cell>
          <cell r="F87"/>
          <cell r="G87"/>
          <cell r="H87" t="str">
            <v/>
          </cell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</row>
        <row r="88">
          <cell r="A88" t="str">
            <v>Comparison Reinf. Weight</v>
          </cell>
          <cell r="B88">
            <v>78</v>
          </cell>
          <cell r="F88"/>
          <cell r="G88"/>
          <cell r="H88" t="str">
            <v/>
          </cell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</row>
        <row r="89">
          <cell r="A89" t="str">
            <v>ds</v>
          </cell>
          <cell r="B89">
            <v>80</v>
          </cell>
          <cell r="F89"/>
          <cell r="G89"/>
          <cell r="H89" t="str">
            <v/>
          </cell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</row>
        <row r="90">
          <cell r="A90" t="str">
            <v>nR</v>
          </cell>
          <cell r="B90">
            <v>81</v>
          </cell>
          <cell r="F90"/>
          <cell r="G90"/>
          <cell r="H90" t="str">
            <v/>
          </cell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</row>
        <row r="91">
          <cell r="A91" t="str">
            <v>f'cs</v>
          </cell>
          <cell r="B91">
            <v>82</v>
          </cell>
          <cell r="F91"/>
          <cell r="G91"/>
          <cell r="H91" t="str">
            <v/>
          </cell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</row>
        <row r="92">
          <cell r="A92" t="str">
            <v>f'ce</v>
          </cell>
          <cell r="B92">
            <v>83</v>
          </cell>
          <cell r="F92"/>
          <cell r="G92"/>
          <cell r="H92" t="str">
            <v/>
          </cell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</row>
        <row r="93">
          <cell r="A93" t="str">
            <v>c</v>
          </cell>
          <cell r="B93">
            <v>84</v>
          </cell>
          <cell r="F93"/>
          <cell r="G93"/>
          <cell r="H93" t="str">
            <v/>
          </cell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</row>
        <row r="94">
          <cell r="A94" t="str">
            <v>Nbdb</v>
          </cell>
          <cell r="B94">
            <v>86</v>
          </cell>
          <cell r="F94"/>
          <cell r="G94"/>
          <cell r="H94" t="str">
            <v/>
          </cell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</row>
        <row r="95">
          <cell r="A95" t="str">
            <v>Tie Type</v>
          </cell>
          <cell r="B95">
            <v>87</v>
          </cell>
          <cell r="F95"/>
          <cell r="G95"/>
          <cell r="H95" t="str">
            <v/>
          </cell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</row>
        <row r="96">
          <cell r="A96" t="str">
            <v>Start Splice</v>
          </cell>
          <cell r="B96">
            <v>88</v>
          </cell>
          <cell r="F96"/>
          <cell r="G96"/>
          <cell r="H96" t="str">
            <v/>
          </cell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</row>
        <row r="97">
          <cell r="A97" t="str">
            <v>Adopted Ties</v>
          </cell>
          <cell r="B97">
            <v>89</v>
          </cell>
          <cell r="F97"/>
          <cell r="G97"/>
          <cell r="H97" t="str">
            <v/>
          </cell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</row>
        <row r="98">
          <cell r="A98" t="str">
            <v>Custom 5</v>
          </cell>
          <cell r="B98">
            <v>90</v>
          </cell>
          <cell r="F98"/>
          <cell r="G98"/>
          <cell r="H98" t="str">
            <v/>
          </cell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</row>
        <row r="99">
          <cell r="A99" t="str">
            <v>tbuild</v>
          </cell>
          <cell r="B99">
            <v>92</v>
          </cell>
          <cell r="F99"/>
          <cell r="G99"/>
          <cell r="H99" t="str">
            <v/>
          </cell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</row>
        <row r="100">
          <cell r="A100" t="str">
            <v>%Col SW</v>
          </cell>
          <cell r="B100">
            <v>93</v>
          </cell>
          <cell r="F100"/>
          <cell r="G100"/>
          <cell r="H100" t="str">
            <v/>
          </cell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</row>
        <row r="101">
          <cell r="A101" t="str">
            <v>tCSW</v>
          </cell>
          <cell r="B101">
            <v>94</v>
          </cell>
          <cell r="F101"/>
          <cell r="G101"/>
          <cell r="H101" t="str">
            <v/>
          </cell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</row>
        <row r="102">
          <cell r="A102" t="str">
            <v>%SW</v>
          </cell>
          <cell r="B102">
            <v>95</v>
          </cell>
          <cell r="F102"/>
          <cell r="G102"/>
          <cell r="H102" t="str">
            <v/>
          </cell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</row>
        <row r="103">
          <cell r="A103" t="str">
            <v>tSW</v>
          </cell>
          <cell r="B103">
            <v>96</v>
          </cell>
          <cell r="F103"/>
          <cell r="G103"/>
          <cell r="H103" t="str">
            <v/>
          </cell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</row>
        <row r="104">
          <cell r="A104" t="str">
            <v>%SDL</v>
          </cell>
          <cell r="B104">
            <v>97</v>
          </cell>
          <cell r="F104"/>
          <cell r="G104"/>
          <cell r="H104" t="str">
            <v/>
          </cell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</row>
        <row r="105">
          <cell r="A105" t="str">
            <v>tSDL</v>
          </cell>
          <cell r="B105">
            <v>98</v>
          </cell>
          <cell r="F105"/>
          <cell r="G105"/>
          <cell r="H105" t="str">
            <v/>
          </cell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</row>
        <row r="106">
          <cell r="A106" t="str">
            <v>%RLL</v>
          </cell>
          <cell r="B106">
            <v>99</v>
          </cell>
          <cell r="F106"/>
          <cell r="G106"/>
          <cell r="H106" t="str">
            <v/>
          </cell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</row>
        <row r="107">
          <cell r="A107" t="str">
            <v>tRLL</v>
          </cell>
          <cell r="B107">
            <v>100</v>
          </cell>
          <cell r="F107"/>
          <cell r="G107"/>
          <cell r="H107" t="str">
            <v/>
          </cell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</row>
        <row r="108">
          <cell r="A108" t="str">
            <v>%NRLL</v>
          </cell>
          <cell r="B108">
            <v>101</v>
          </cell>
          <cell r="F108"/>
          <cell r="G108"/>
          <cell r="H108" t="str">
            <v/>
          </cell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</row>
        <row r="109">
          <cell r="A109" t="str">
            <v>tNRLL</v>
          </cell>
          <cell r="B109">
            <v>102</v>
          </cell>
          <cell r="F109"/>
          <cell r="G109"/>
          <cell r="H109" t="str">
            <v/>
          </cell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</row>
        <row r="110">
          <cell r="A110" t="str">
            <v>%Walls</v>
          </cell>
          <cell r="B110">
            <v>103</v>
          </cell>
          <cell r="F110"/>
          <cell r="G110"/>
          <cell r="H110" t="str">
            <v/>
          </cell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</row>
        <row r="111">
          <cell r="A111" t="str">
            <v>tWALLS</v>
          </cell>
          <cell r="B111">
            <v>104</v>
          </cell>
          <cell r="F111"/>
          <cell r="G111"/>
          <cell r="H111" t="str">
            <v/>
          </cell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</row>
        <row r="112">
          <cell r="A112" t="str">
            <v>%EDL</v>
          </cell>
          <cell r="B112">
            <v>105</v>
          </cell>
          <cell r="F112"/>
          <cell r="G112"/>
          <cell r="H112" t="str">
            <v/>
          </cell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</row>
        <row r="113">
          <cell r="A113" t="str">
            <v>tEDL</v>
          </cell>
          <cell r="B113">
            <v>106</v>
          </cell>
          <cell r="F113"/>
          <cell r="G113"/>
          <cell r="H113" t="str">
            <v/>
          </cell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</row>
        <row r="114">
          <cell r="A114" t="str">
            <v>%ELL</v>
          </cell>
          <cell r="B114">
            <v>107</v>
          </cell>
          <cell r="F114"/>
          <cell r="G114"/>
          <cell r="H114" t="str">
            <v/>
          </cell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</row>
        <row r="115">
          <cell r="A115" t="str">
            <v>tELL</v>
          </cell>
          <cell r="B115">
            <v>108</v>
          </cell>
          <cell r="F115"/>
          <cell r="G115"/>
          <cell r="H115" t="str">
            <v/>
          </cell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</row>
        <row r="116">
          <cell r="A116" t="str">
            <v>wtemp</v>
          </cell>
          <cell r="B116">
            <v>109</v>
          </cell>
          <cell r="F116"/>
          <cell r="G116"/>
          <cell r="H116" t="str">
            <v/>
          </cell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</row>
        <row r="117">
          <cell r="A117" t="str">
            <v>ttemp,ON</v>
          </cell>
          <cell r="B117">
            <v>110</v>
          </cell>
          <cell r="F117"/>
          <cell r="G117"/>
          <cell r="H117" t="str">
            <v/>
          </cell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</row>
        <row r="118">
          <cell r="A118" t="str">
            <v>ttemp,OFF</v>
          </cell>
          <cell r="B118">
            <v>111</v>
          </cell>
          <cell r="F118"/>
          <cell r="G118"/>
          <cell r="H118" t="str">
            <v/>
          </cell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</row>
        <row r="119">
          <cell r="A119" t="str">
            <v>Detailed Bprop Sequence</v>
          </cell>
          <cell r="B119">
            <v>112</v>
          </cell>
          <cell r="F119"/>
          <cell r="G119"/>
          <cell r="H119" t="str">
            <v/>
          </cell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</row>
        <row r="120">
          <cell r="A120" t="str">
            <v>BP Level 1</v>
          </cell>
          <cell r="B120">
            <v>113</v>
          </cell>
          <cell r="F120"/>
          <cell r="G120"/>
          <cell r="H120" t="str">
            <v/>
          </cell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</row>
        <row r="121">
          <cell r="A121" t="str">
            <v>BP Level 2</v>
          </cell>
          <cell r="B121">
            <v>114</v>
          </cell>
          <cell r="F121"/>
          <cell r="G121"/>
          <cell r="H121" t="str">
            <v/>
          </cell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</row>
        <row r="122">
          <cell r="A122" t="str">
            <v>BP Level 3</v>
          </cell>
          <cell r="B122">
            <v>115</v>
          </cell>
          <cell r="F122"/>
          <cell r="G122"/>
          <cell r="H122" t="str">
            <v/>
          </cell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</row>
        <row r="123">
          <cell r="A123" t="str">
            <v>BP Level 1 %</v>
          </cell>
          <cell r="B123">
            <v>116</v>
          </cell>
          <cell r="F123"/>
          <cell r="G123"/>
          <cell r="H123" t="str">
            <v/>
          </cell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</row>
        <row r="124">
          <cell r="A124" t="str">
            <v>BP Level 2 %</v>
          </cell>
          <cell r="B124">
            <v>117</v>
          </cell>
          <cell r="F124"/>
          <cell r="G124"/>
          <cell r="H124" t="str">
            <v/>
          </cell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</row>
        <row r="125">
          <cell r="A125" t="str">
            <v>BP Level 3 %</v>
          </cell>
          <cell r="B125">
            <v>118</v>
          </cell>
          <cell r="F125"/>
          <cell r="G125"/>
          <cell r="H125" t="str">
            <v/>
          </cell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</row>
        <row r="126">
          <cell r="A126" t="str">
            <v>tBP,L1 OFF</v>
          </cell>
          <cell r="B126">
            <v>119</v>
          </cell>
          <cell r="F126"/>
          <cell r="G126"/>
          <cell r="H126" t="str">
            <v/>
          </cell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</row>
        <row r="127">
          <cell r="A127" t="str">
            <v>tBP,L2 OFF</v>
          </cell>
          <cell r="B127">
            <v>120</v>
          </cell>
          <cell r="F127"/>
          <cell r="G127"/>
          <cell r="H127" t="str">
            <v/>
          </cell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</row>
        <row r="128">
          <cell r="A128" t="str">
            <v>tBP,L3 OFF</v>
          </cell>
          <cell r="B128">
            <v>121</v>
          </cell>
          <cell r="F128"/>
          <cell r="G128"/>
          <cell r="H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</row>
        <row r="129">
          <cell r="F129"/>
          <cell r="G129"/>
          <cell r="H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</row>
        <row r="130">
          <cell r="F130"/>
          <cell r="G130"/>
          <cell r="H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</row>
        <row r="131">
          <cell r="F131"/>
          <cell r="G131"/>
          <cell r="H131"/>
        </row>
        <row r="132">
          <cell r="F132"/>
          <cell r="G132"/>
          <cell r="H132"/>
        </row>
        <row r="133">
          <cell r="F133"/>
          <cell r="G133"/>
          <cell r="H133"/>
        </row>
        <row r="134">
          <cell r="F134"/>
          <cell r="G134"/>
          <cell r="H134"/>
        </row>
        <row r="135">
          <cell r="F135"/>
          <cell r="G135"/>
          <cell r="H135"/>
        </row>
        <row r="136">
          <cell r="F136"/>
          <cell r="G136"/>
          <cell r="H136"/>
        </row>
        <row r="137">
          <cell r="F137"/>
          <cell r="G137"/>
          <cell r="H137"/>
        </row>
        <row r="138">
          <cell r="F138"/>
          <cell r="G138"/>
          <cell r="H138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A07B-7416-449B-9674-1492CA1C6F5A}">
  <sheetPr codeName="Sheet2"/>
  <dimension ref="A1:Z114"/>
  <sheetViews>
    <sheetView tabSelected="1" topLeftCell="A60" zoomScale="70" zoomScaleNormal="70" workbookViewId="0">
      <selection activeCell="G84" sqref="G84"/>
    </sheetView>
  </sheetViews>
  <sheetFormatPr defaultRowHeight="12.75" x14ac:dyDescent="0.2"/>
  <cols>
    <col min="1" max="1" width="41.85546875" bestFit="1" customWidth="1"/>
    <col min="2" max="2" width="26.28515625" customWidth="1"/>
    <col min="3" max="3" width="12.28515625" customWidth="1"/>
    <col min="4" max="4" width="15" customWidth="1"/>
    <col min="5" max="5" width="24.42578125" bestFit="1" customWidth="1"/>
    <col min="6" max="6" width="14" customWidth="1"/>
    <col min="7" max="7" width="12.7109375" customWidth="1"/>
    <col min="8" max="8" width="25.7109375" bestFit="1" customWidth="1"/>
    <col min="9" max="9" width="14.7109375" customWidth="1"/>
    <col min="10" max="10" width="16.28515625" customWidth="1"/>
    <col min="11" max="11" width="15.5703125" customWidth="1"/>
    <col min="12" max="13" width="14.42578125" bestFit="1" customWidth="1"/>
    <col min="14" max="14" width="27.85546875" bestFit="1" customWidth="1"/>
    <col min="15" max="15" width="14.5703125" customWidth="1"/>
    <col min="16" max="25" width="22.28515625" customWidth="1"/>
    <col min="26" max="26" width="12.140625" bestFit="1" customWidth="1"/>
  </cols>
  <sheetData>
    <row r="1" spans="1:18" ht="18.75" x14ac:dyDescent="0.2">
      <c r="A1" s="7" t="s">
        <v>33</v>
      </c>
      <c r="B1" s="7"/>
      <c r="C1" s="7"/>
      <c r="D1" s="7"/>
      <c r="E1" s="7"/>
      <c r="F1" s="7"/>
      <c r="G1" s="7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">
      <c r="A2" s="3" t="s">
        <v>3</v>
      </c>
      <c r="B2" s="8">
        <v>16021</v>
      </c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">
      <c r="A3" s="3" t="s">
        <v>18</v>
      </c>
      <c r="B3" s="9" t="s">
        <v>26</v>
      </c>
      <c r="C3" s="10"/>
      <c r="D3" s="11"/>
      <c r="E3" s="11"/>
      <c r="F3" s="1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">
      <c r="A4" s="3" t="s">
        <v>19</v>
      </c>
      <c r="B4" s="9" t="s">
        <v>27</v>
      </c>
      <c r="C4" s="10"/>
      <c r="D4" s="11"/>
      <c r="E4" s="11"/>
      <c r="F4" s="1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">
      <c r="A5" s="3" t="s">
        <v>2</v>
      </c>
      <c r="B5" s="9" t="s">
        <v>28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">
      <c r="A6" s="3" t="s">
        <v>1</v>
      </c>
      <c r="B6" s="12">
        <v>44942</v>
      </c>
      <c r="C6" s="2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">
      <c r="A7" s="3" t="s">
        <v>0</v>
      </c>
      <c r="B7" s="9"/>
      <c r="C7" s="10"/>
      <c r="D7" s="11"/>
      <c r="E7" s="11"/>
      <c r="F7" s="11"/>
      <c r="G7" s="1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">
      <c r="A8" s="3" t="s">
        <v>30</v>
      </c>
      <c r="B8" s="13" t="s">
        <v>121</v>
      </c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">
      <c r="A9" s="3" t="s">
        <v>31</v>
      </c>
      <c r="B9" s="13" t="s">
        <v>29</v>
      </c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">
      <c r="A10" s="3" t="s">
        <v>40</v>
      </c>
      <c r="B10" s="13">
        <v>35</v>
      </c>
      <c r="C10" s="2" t="s">
        <v>41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">
      <c r="A11" s="3" t="s">
        <v>118</v>
      </c>
      <c r="B11" s="13">
        <v>8</v>
      </c>
      <c r="C11" s="2" t="s">
        <v>34</v>
      </c>
      <c r="D11" s="1"/>
      <c r="E11" s="1"/>
      <c r="F11" s="1"/>
      <c r="G11" s="1"/>
      <c r="H11" s="1" t="s">
        <v>96</v>
      </c>
      <c r="I11" s="1"/>
      <c r="J11" s="36" t="s">
        <v>97</v>
      </c>
      <c r="K11" s="36"/>
      <c r="L11" s="36"/>
      <c r="M11" s="36"/>
      <c r="N11" s="36"/>
      <c r="O11" s="1"/>
      <c r="P11" s="1"/>
      <c r="Q11" s="1"/>
      <c r="R11" s="1"/>
    </row>
    <row r="12" spans="1:18" x14ac:dyDescent="0.2">
      <c r="A12" s="3" t="s">
        <v>50</v>
      </c>
      <c r="B12" s="13">
        <v>3</v>
      </c>
      <c r="C12" s="2" t="s">
        <v>34</v>
      </c>
      <c r="D12" s="1"/>
      <c r="E12" s="1"/>
      <c r="F12" s="1"/>
      <c r="G12" s="1"/>
      <c r="H12" s="1"/>
      <c r="I12" s="1"/>
      <c r="J12" s="36" t="s">
        <v>98</v>
      </c>
      <c r="K12" s="36"/>
      <c r="L12" s="36"/>
      <c r="M12" s="36"/>
      <c r="N12" s="36"/>
      <c r="O12" s="1"/>
      <c r="P12" s="1"/>
      <c r="Q12" s="1"/>
      <c r="R12" s="1"/>
    </row>
    <row r="13" spans="1:18" x14ac:dyDescent="0.2">
      <c r="A13" s="3" t="s">
        <v>35</v>
      </c>
      <c r="B13" s="13">
        <v>40</v>
      </c>
      <c r="C13" s="2" t="s">
        <v>34</v>
      </c>
      <c r="D13" s="1"/>
      <c r="E13" s="1"/>
      <c r="F13" s="1"/>
      <c r="G13" s="1"/>
      <c r="H13" s="1"/>
      <c r="I13" s="1"/>
      <c r="J13" s="36" t="s">
        <v>99</v>
      </c>
      <c r="K13" s="36"/>
      <c r="L13" s="36"/>
      <c r="M13" s="36"/>
      <c r="N13" s="36"/>
      <c r="O13" s="1"/>
      <c r="P13" s="1"/>
      <c r="Q13" s="1"/>
      <c r="R13" s="1"/>
    </row>
    <row r="14" spans="1:18" x14ac:dyDescent="0.2">
      <c r="A14" s="3" t="s">
        <v>36</v>
      </c>
      <c r="B14" s="13">
        <v>3</v>
      </c>
      <c r="C14" s="2" t="s">
        <v>34</v>
      </c>
      <c r="D14" s="1"/>
      <c r="E14" s="1"/>
      <c r="F14" s="1"/>
      <c r="G14" s="1"/>
      <c r="H14" s="1"/>
      <c r="I14" s="1"/>
      <c r="J14" s="36" t="s">
        <v>100</v>
      </c>
      <c r="K14" s="36"/>
      <c r="L14" s="36"/>
      <c r="M14" s="36"/>
      <c r="N14" s="36"/>
      <c r="O14" s="1"/>
      <c r="P14" s="1"/>
      <c r="Q14" s="1"/>
      <c r="R14" s="1"/>
    </row>
    <row r="15" spans="1:18" x14ac:dyDescent="0.2">
      <c r="A15" s="3" t="s">
        <v>39</v>
      </c>
      <c r="B15" s="13">
        <v>20</v>
      </c>
      <c r="C15" s="2" t="s">
        <v>34</v>
      </c>
      <c r="D15" s="1"/>
      <c r="E15" s="1"/>
      <c r="F15" s="1"/>
      <c r="G15" s="1"/>
      <c r="H15" s="1"/>
      <c r="I15" s="1"/>
      <c r="J15" s="36" t="s">
        <v>101</v>
      </c>
      <c r="K15" s="36"/>
      <c r="L15" s="36"/>
      <c r="M15" s="36"/>
      <c r="N15" s="36"/>
      <c r="O15" s="1"/>
      <c r="P15" s="1"/>
      <c r="Q15" s="1"/>
      <c r="R15" s="1"/>
    </row>
    <row r="16" spans="1:18" x14ac:dyDescent="0.2">
      <c r="A16" s="3" t="s">
        <v>38</v>
      </c>
      <c r="B16" s="13">
        <v>32</v>
      </c>
      <c r="C16" s="2" t="s">
        <v>34</v>
      </c>
      <c r="D16" s="1"/>
      <c r="E16" s="1"/>
      <c r="F16" s="1"/>
      <c r="G16" s="1"/>
      <c r="H16" s="1"/>
      <c r="I16" s="1"/>
      <c r="J16" s="36" t="s">
        <v>102</v>
      </c>
      <c r="K16" s="36"/>
      <c r="L16" s="36"/>
      <c r="M16" s="36"/>
      <c r="N16" s="36"/>
      <c r="O16" s="1"/>
      <c r="P16" s="1"/>
      <c r="Q16" s="1"/>
      <c r="R16" s="1"/>
    </row>
    <row r="17" spans="1:18" x14ac:dyDescent="0.2">
      <c r="A17" s="3" t="s">
        <v>37</v>
      </c>
      <c r="B17" s="13">
        <v>96</v>
      </c>
      <c r="C17" s="2" t="s">
        <v>34</v>
      </c>
      <c r="D17" s="1"/>
      <c r="E17" s="1"/>
      <c r="F17" s="1"/>
      <c r="G17" s="1"/>
      <c r="H17" s="1"/>
      <c r="I17" s="1"/>
      <c r="J17" s="36" t="s">
        <v>103</v>
      </c>
      <c r="K17" s="36"/>
      <c r="L17" s="36"/>
      <c r="M17" s="36"/>
      <c r="N17" s="36"/>
      <c r="O17" s="1"/>
      <c r="P17" s="1"/>
      <c r="Q17" s="1"/>
      <c r="R17" s="1"/>
    </row>
    <row r="18" spans="1:18" x14ac:dyDescent="0.2">
      <c r="A18" s="3" t="s">
        <v>51</v>
      </c>
      <c r="B18" s="13">
        <v>180</v>
      </c>
      <c r="C18" s="2" t="s">
        <v>34</v>
      </c>
      <c r="D18" s="1" t="s">
        <v>52</v>
      </c>
      <c r="E18" s="1"/>
      <c r="F18" s="1"/>
      <c r="G18" s="1"/>
      <c r="H18" s="1"/>
      <c r="I18" s="1"/>
      <c r="J18" s="36" t="s">
        <v>104</v>
      </c>
      <c r="K18" s="36"/>
      <c r="L18" s="36"/>
      <c r="M18" s="36"/>
      <c r="N18" s="36"/>
      <c r="O18" s="1"/>
      <c r="P18" s="1"/>
      <c r="Q18" s="1"/>
      <c r="R18" s="1"/>
    </row>
    <row r="19" spans="1:18" x14ac:dyDescent="0.2">
      <c r="A19" s="3"/>
      <c r="B19" s="2"/>
      <c r="C19" s="2"/>
      <c r="D19" s="1"/>
      <c r="E19" s="1"/>
      <c r="F19" s="1"/>
      <c r="G19" s="1"/>
      <c r="H19" s="1"/>
      <c r="I19" s="1"/>
      <c r="J19" s="36" t="s">
        <v>105</v>
      </c>
      <c r="K19" s="36"/>
      <c r="L19" s="36"/>
      <c r="M19" s="36"/>
      <c r="N19" s="36"/>
      <c r="O19" s="1"/>
      <c r="P19" s="1"/>
      <c r="Q19" s="1"/>
      <c r="R19" s="1"/>
    </row>
    <row r="20" spans="1:18" x14ac:dyDescent="0.2">
      <c r="A20" s="3"/>
      <c r="B20" s="2"/>
      <c r="C20" s="2"/>
      <c r="D20" s="1"/>
      <c r="E20" s="1"/>
      <c r="F20" s="1"/>
      <c r="G20" s="1"/>
      <c r="H20" s="1"/>
      <c r="I20" s="1"/>
      <c r="J20" s="36" t="s">
        <v>106</v>
      </c>
      <c r="K20" s="36"/>
      <c r="L20" s="36"/>
      <c r="M20" s="36"/>
      <c r="N20" s="36"/>
      <c r="O20" s="1"/>
      <c r="P20" s="1"/>
      <c r="Q20" s="1"/>
      <c r="R20" s="1"/>
    </row>
    <row r="21" spans="1:18" x14ac:dyDescent="0.2">
      <c r="A21" s="3" t="s">
        <v>94</v>
      </c>
      <c r="B21" s="2" t="s">
        <v>95</v>
      </c>
      <c r="C21" s="2"/>
      <c r="D21" s="1"/>
      <c r="E21" s="1"/>
      <c r="F21" s="1"/>
      <c r="G21" s="1"/>
      <c r="H21" s="1"/>
      <c r="I21" s="1"/>
      <c r="J21" s="36" t="s">
        <v>107</v>
      </c>
      <c r="K21" s="36"/>
      <c r="L21" s="36"/>
      <c r="M21" s="36"/>
      <c r="N21" s="36"/>
      <c r="O21" s="1"/>
      <c r="P21" s="1"/>
      <c r="Q21" s="1"/>
      <c r="R21" s="1"/>
    </row>
    <row r="22" spans="1:18" x14ac:dyDescent="0.2">
      <c r="A22" s="3" t="s">
        <v>46</v>
      </c>
      <c r="B22" s="13" t="s">
        <v>97</v>
      </c>
      <c r="C22" s="2"/>
      <c r="D22" s="1"/>
      <c r="E22" s="1"/>
      <c r="F22" s="1"/>
      <c r="G22" s="1"/>
      <c r="H22" s="1"/>
      <c r="I22" s="1"/>
      <c r="J22" s="36" t="s">
        <v>108</v>
      </c>
      <c r="K22" s="36"/>
      <c r="L22" s="36"/>
      <c r="M22" s="36"/>
      <c r="N22" s="36"/>
      <c r="O22" s="1"/>
      <c r="P22" s="1"/>
      <c r="Q22" s="1"/>
      <c r="R22" s="1"/>
    </row>
    <row r="23" spans="1:18" x14ac:dyDescent="0.2">
      <c r="A23" s="3" t="s">
        <v>47</v>
      </c>
      <c r="B23" s="13" t="s">
        <v>100</v>
      </c>
      <c r="C23" s="2"/>
      <c r="D23" s="1"/>
      <c r="E23" s="1"/>
      <c r="F23" s="1"/>
      <c r="G23" s="1"/>
      <c r="H23" s="1"/>
      <c r="I23" s="1"/>
      <c r="J23" s="36" t="s">
        <v>109</v>
      </c>
      <c r="K23" s="36"/>
      <c r="L23" s="36"/>
      <c r="M23" s="36"/>
      <c r="N23" s="36"/>
      <c r="O23" s="1"/>
      <c r="P23" s="1"/>
      <c r="Q23" s="1"/>
      <c r="R23" s="1"/>
    </row>
    <row r="24" spans="1:18" x14ac:dyDescent="0.2">
      <c r="A24" s="3" t="s">
        <v>116</v>
      </c>
      <c r="B24" s="13" t="s">
        <v>99</v>
      </c>
      <c r="C24" s="2"/>
      <c r="D24" s="1"/>
      <c r="E24" s="1"/>
      <c r="F24" s="1"/>
      <c r="G24" s="1"/>
      <c r="H24" s="1"/>
      <c r="I24" s="1"/>
      <c r="J24" s="36" t="s">
        <v>110</v>
      </c>
      <c r="K24" s="36"/>
      <c r="L24" s="36"/>
      <c r="M24" s="36"/>
      <c r="N24" s="36"/>
      <c r="O24" s="1"/>
      <c r="P24" s="1"/>
      <c r="Q24" s="1"/>
      <c r="R24" s="1"/>
    </row>
    <row r="25" spans="1:18" x14ac:dyDescent="0.2">
      <c r="A25" s="3" t="s">
        <v>117</v>
      </c>
      <c r="B25" s="13" t="s">
        <v>98</v>
      </c>
      <c r="C25" s="2"/>
      <c r="D25" s="1"/>
      <c r="E25" s="1"/>
      <c r="F25" s="1"/>
      <c r="G25" s="1"/>
      <c r="H25" s="1"/>
      <c r="I25" s="1"/>
      <c r="J25" s="36" t="s">
        <v>111</v>
      </c>
      <c r="K25" s="36"/>
      <c r="L25" s="36"/>
      <c r="M25" s="36"/>
      <c r="N25" s="36"/>
      <c r="O25" s="1"/>
      <c r="P25" s="1"/>
      <c r="Q25" s="1"/>
      <c r="R25" s="1"/>
    </row>
    <row r="26" spans="1:18" x14ac:dyDescent="0.2">
      <c r="A26" s="3" t="s">
        <v>48</v>
      </c>
      <c r="B26" s="13" t="s">
        <v>48</v>
      </c>
      <c r="C26" s="2"/>
      <c r="D26" s="1"/>
      <c r="E26" s="1"/>
      <c r="F26" s="1"/>
      <c r="G26" s="1"/>
      <c r="H26" s="1"/>
      <c r="I26" s="1"/>
      <c r="J26" s="36" t="s">
        <v>112</v>
      </c>
      <c r="K26" s="36"/>
      <c r="L26" s="36"/>
      <c r="M26" s="36"/>
      <c r="N26" s="36"/>
      <c r="O26" s="1"/>
      <c r="P26" s="1"/>
      <c r="Q26" s="1"/>
      <c r="R26" s="1"/>
    </row>
    <row r="27" spans="1:18" x14ac:dyDescent="0.2">
      <c r="A27" s="3"/>
      <c r="B27" s="2"/>
      <c r="C27" s="2"/>
      <c r="D27" s="1"/>
      <c r="E27" s="1"/>
      <c r="F27" s="1"/>
      <c r="G27" s="1"/>
      <c r="H27" s="1"/>
      <c r="I27" s="1"/>
      <c r="J27" s="36" t="s">
        <v>113</v>
      </c>
      <c r="K27" s="36"/>
      <c r="L27" s="36"/>
      <c r="M27" s="36"/>
      <c r="N27" s="36"/>
      <c r="O27" s="1"/>
      <c r="P27" s="1"/>
      <c r="Q27" s="1"/>
      <c r="R27" s="1"/>
    </row>
    <row r="28" spans="1:18" x14ac:dyDescent="0.2">
      <c r="A28" s="3"/>
      <c r="B28" s="2"/>
      <c r="C28" s="2"/>
      <c r="D28" s="1"/>
      <c r="E28" s="1"/>
      <c r="F28" s="1"/>
      <c r="G28" s="1"/>
      <c r="H28" s="1"/>
      <c r="I28" s="1"/>
      <c r="J28" s="36" t="s">
        <v>158</v>
      </c>
      <c r="K28" s="36"/>
      <c r="L28" s="36"/>
      <c r="M28" s="36"/>
      <c r="N28" s="36"/>
      <c r="O28" s="1"/>
      <c r="P28" s="1"/>
      <c r="Q28" s="1"/>
      <c r="R28" s="1"/>
    </row>
    <row r="29" spans="1:18" x14ac:dyDescent="0.2">
      <c r="A29" s="3"/>
      <c r="B29" s="2"/>
      <c r="C29" s="2"/>
      <c r="D29" s="1"/>
      <c r="E29" s="1"/>
      <c r="F29" s="1"/>
      <c r="G29" s="1"/>
      <c r="H29" s="1"/>
      <c r="I29" s="1"/>
      <c r="J29" s="36"/>
      <c r="K29" s="36"/>
      <c r="L29" s="36"/>
      <c r="M29" s="36"/>
      <c r="N29" s="36"/>
      <c r="O29" s="1"/>
      <c r="P29" s="1"/>
      <c r="Q29" s="1"/>
      <c r="R29" s="1"/>
    </row>
    <row r="30" spans="1:18" x14ac:dyDescent="0.2">
      <c r="A30" s="3"/>
      <c r="B30" s="2"/>
      <c r="C30" s="2"/>
      <c r="D30" s="1"/>
      <c r="E30" s="1"/>
      <c r="F30" s="1"/>
      <c r="G30" s="1"/>
      <c r="H30" s="1"/>
      <c r="I30" s="1"/>
      <c r="J30" s="36"/>
      <c r="K30" s="36"/>
      <c r="L30" s="36"/>
      <c r="M30" s="36"/>
      <c r="N30" s="36"/>
      <c r="O30" s="1"/>
      <c r="P30" s="1"/>
      <c r="Q30" s="1"/>
      <c r="R30" s="1"/>
    </row>
    <row r="31" spans="1:18" x14ac:dyDescent="0.2">
      <c r="A31" s="3"/>
      <c r="B31" s="2"/>
      <c r="C31" s="2"/>
      <c r="D31" s="1"/>
      <c r="E31" s="1"/>
      <c r="F31" s="1"/>
      <c r="G31" s="1"/>
      <c r="H31" s="1"/>
      <c r="I31" s="1"/>
      <c r="J31" s="36"/>
      <c r="K31" s="36"/>
      <c r="L31" s="36"/>
      <c r="M31" s="36"/>
      <c r="N31" s="36"/>
      <c r="O31" s="1"/>
      <c r="P31" s="1"/>
      <c r="Q31" s="1"/>
      <c r="R31" s="1"/>
    </row>
    <row r="32" spans="1:18" x14ac:dyDescent="0.2">
      <c r="A32" s="3"/>
      <c r="B32" s="2"/>
      <c r="C32" s="2"/>
      <c r="D32" s="1"/>
      <c r="E32" s="1"/>
      <c r="F32" s="1"/>
      <c r="G32" s="1"/>
      <c r="H32" s="1"/>
      <c r="I32" s="1"/>
      <c r="J32" s="36"/>
      <c r="K32" s="36"/>
      <c r="L32" s="36"/>
      <c r="M32" s="36"/>
      <c r="N32" s="36"/>
      <c r="O32" s="1"/>
      <c r="P32" s="1"/>
      <c r="Q32" s="1"/>
      <c r="R32" s="1"/>
    </row>
    <row r="33" spans="1:26" x14ac:dyDescent="0.2">
      <c r="A33" s="3"/>
      <c r="B33" s="2"/>
      <c r="C33" s="2"/>
      <c r="D33" s="1"/>
      <c r="E33" s="1"/>
      <c r="F33" s="1"/>
      <c r="G33" s="1"/>
      <c r="H33" s="1"/>
      <c r="I33" s="1"/>
      <c r="J33" s="36"/>
      <c r="K33" s="36"/>
      <c r="L33" s="36"/>
      <c r="M33" s="36"/>
      <c r="N33" s="36"/>
      <c r="O33" s="1"/>
      <c r="P33" s="1"/>
      <c r="Q33" s="1"/>
      <c r="R33" s="1"/>
    </row>
    <row r="34" spans="1:26" x14ac:dyDescent="0.2">
      <c r="A34" s="3"/>
      <c r="B34" s="2"/>
      <c r="C34" s="2"/>
      <c r="D34" s="1"/>
      <c r="E34" s="1"/>
      <c r="F34" s="1"/>
      <c r="G34" s="1"/>
      <c r="H34" s="1"/>
      <c r="I34" s="1"/>
      <c r="J34" s="36"/>
      <c r="K34" s="36"/>
      <c r="L34" s="36"/>
      <c r="M34" s="36"/>
      <c r="N34" s="36"/>
      <c r="O34" s="1"/>
      <c r="P34" s="1"/>
      <c r="Q34" s="1"/>
      <c r="R34" s="1"/>
    </row>
    <row r="35" spans="1:26" x14ac:dyDescent="0.2">
      <c r="A35" s="3"/>
      <c r="B35" s="2"/>
      <c r="C35" s="2"/>
      <c r="D35" s="1"/>
      <c r="E35" s="1"/>
      <c r="F35" s="1"/>
      <c r="G35" s="1"/>
      <c r="H35" s="1"/>
      <c r="I35" s="1"/>
      <c r="J35" s="36"/>
      <c r="K35" s="36"/>
      <c r="L35" s="36"/>
      <c r="M35" s="36"/>
      <c r="N35" s="36"/>
      <c r="O35" s="1"/>
      <c r="P35" s="1"/>
      <c r="Q35" s="1"/>
      <c r="R35" s="1"/>
    </row>
    <row r="36" spans="1:26" x14ac:dyDescent="0.2">
      <c r="A36" s="3"/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26" x14ac:dyDescent="0.2">
      <c r="B37" s="3"/>
      <c r="C37" s="2"/>
      <c r="D37" s="2"/>
      <c r="E37" s="39" t="s">
        <v>119</v>
      </c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1"/>
      <c r="Q37" s="37" t="s">
        <v>45</v>
      </c>
      <c r="R37" s="47"/>
      <c r="S37" s="47"/>
      <c r="T37" s="47"/>
      <c r="U37" s="47"/>
      <c r="V37" s="47"/>
      <c r="W37" s="47"/>
      <c r="X37" s="47"/>
      <c r="Y37" s="47"/>
      <c r="Z37" s="47"/>
    </row>
    <row r="38" spans="1:26" x14ac:dyDescent="0.2">
      <c r="B38" s="15"/>
      <c r="C38" s="14"/>
      <c r="D38" s="16"/>
      <c r="E38" s="39" t="s">
        <v>24</v>
      </c>
      <c r="F38" s="40"/>
      <c r="G38" s="40"/>
      <c r="H38" s="39" t="s">
        <v>25</v>
      </c>
      <c r="I38" s="40"/>
      <c r="J38" s="40"/>
      <c r="K38" s="39" t="s">
        <v>22</v>
      </c>
      <c r="L38" s="40"/>
      <c r="M38" s="40"/>
      <c r="N38" s="39" t="s">
        <v>21</v>
      </c>
      <c r="O38" s="40"/>
      <c r="P38" s="41"/>
      <c r="Q38" s="3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">
      <c r="A39" s="37" t="s">
        <v>156</v>
      </c>
      <c r="B39" s="37" t="s">
        <v>42</v>
      </c>
      <c r="C39" s="21"/>
      <c r="D39" s="32" t="s">
        <v>43</v>
      </c>
      <c r="E39" s="43" t="s">
        <v>124</v>
      </c>
      <c r="F39" s="22" t="s">
        <v>23</v>
      </c>
      <c r="G39" s="23" t="s">
        <v>134</v>
      </c>
      <c r="H39" s="43" t="s">
        <v>124</v>
      </c>
      <c r="I39" s="22" t="s">
        <v>23</v>
      </c>
      <c r="J39" s="23" t="s">
        <v>134</v>
      </c>
      <c r="K39" s="43" t="s">
        <v>124</v>
      </c>
      <c r="L39" s="22" t="s">
        <v>20</v>
      </c>
      <c r="M39" s="23" t="s">
        <v>134</v>
      </c>
      <c r="N39" s="43" t="s">
        <v>124</v>
      </c>
      <c r="O39" s="22" t="s">
        <v>20</v>
      </c>
      <c r="P39" s="22" t="s">
        <v>134</v>
      </c>
      <c r="Q39" s="45" t="s">
        <v>46</v>
      </c>
      <c r="R39" s="23" t="s">
        <v>46</v>
      </c>
      <c r="S39" s="45" t="s">
        <v>48</v>
      </c>
      <c r="T39" s="46" t="s">
        <v>48</v>
      </c>
      <c r="U39" s="45" t="s">
        <v>47</v>
      </c>
      <c r="V39" s="46" t="s">
        <v>47</v>
      </c>
      <c r="W39" s="45" t="s">
        <v>114</v>
      </c>
      <c r="X39" s="46" t="s">
        <v>114</v>
      </c>
      <c r="Y39" s="45" t="s">
        <v>122</v>
      </c>
      <c r="Z39" s="46" t="s">
        <v>122</v>
      </c>
    </row>
    <row r="40" spans="1:26" x14ac:dyDescent="0.2">
      <c r="A40" s="38"/>
      <c r="B40" s="38"/>
      <c r="C40" s="24" t="s">
        <v>49</v>
      </c>
      <c r="D40" s="33" t="s">
        <v>44</v>
      </c>
      <c r="E40" s="44" t="s">
        <v>125</v>
      </c>
      <c r="F40" s="26" t="s">
        <v>24</v>
      </c>
      <c r="G40" s="27" t="s">
        <v>24</v>
      </c>
      <c r="H40" s="44" t="s">
        <v>125</v>
      </c>
      <c r="I40" s="26" t="s">
        <v>25</v>
      </c>
      <c r="J40" s="27" t="s">
        <v>25</v>
      </c>
      <c r="K40" s="44" t="s">
        <v>125</v>
      </c>
      <c r="L40" s="26" t="s">
        <v>22</v>
      </c>
      <c r="M40" s="27" t="s">
        <v>22</v>
      </c>
      <c r="N40" s="44" t="s">
        <v>125</v>
      </c>
      <c r="O40" s="26" t="s">
        <v>21</v>
      </c>
      <c r="P40" s="26" t="s">
        <v>21</v>
      </c>
      <c r="Q40" s="25" t="s">
        <v>149</v>
      </c>
      <c r="R40" s="27" t="s">
        <v>146</v>
      </c>
      <c r="S40" s="25" t="s">
        <v>155</v>
      </c>
      <c r="T40" s="27" t="s">
        <v>146</v>
      </c>
      <c r="U40" s="25" t="s">
        <v>154</v>
      </c>
      <c r="V40" s="27" t="s">
        <v>146</v>
      </c>
      <c r="W40" s="25" t="s">
        <v>154</v>
      </c>
      <c r="X40" s="27" t="s">
        <v>146</v>
      </c>
      <c r="Y40" s="25" t="s">
        <v>154</v>
      </c>
      <c r="Z40" s="27" t="s">
        <v>146</v>
      </c>
    </row>
    <row r="41" spans="1:26" x14ac:dyDescent="0.2">
      <c r="A41" s="28"/>
      <c r="B41" s="28" t="s">
        <v>32</v>
      </c>
      <c r="C41" s="28" t="s">
        <v>53</v>
      </c>
      <c r="D41" s="28" t="s">
        <v>54</v>
      </c>
      <c r="E41" s="35" t="s">
        <v>138</v>
      </c>
      <c r="F41" s="35" t="s">
        <v>141</v>
      </c>
      <c r="G41" s="35" t="s">
        <v>135</v>
      </c>
      <c r="H41" s="28" t="s">
        <v>137</v>
      </c>
      <c r="I41" s="28" t="s">
        <v>142</v>
      </c>
      <c r="J41" s="28" t="s">
        <v>136</v>
      </c>
      <c r="K41" s="28" t="s">
        <v>139</v>
      </c>
      <c r="L41" s="28" t="s">
        <v>157</v>
      </c>
      <c r="M41" s="28" t="s">
        <v>140</v>
      </c>
      <c r="N41" s="28" t="s">
        <v>143</v>
      </c>
      <c r="O41" s="28" t="s">
        <v>144</v>
      </c>
      <c r="P41" s="28" t="s">
        <v>145</v>
      </c>
      <c r="Q41" s="35" t="s">
        <v>55</v>
      </c>
      <c r="R41" s="35" t="s">
        <v>147</v>
      </c>
      <c r="S41" s="35" t="s">
        <v>56</v>
      </c>
      <c r="T41" s="35" t="s">
        <v>150</v>
      </c>
      <c r="U41" s="35" t="s">
        <v>57</v>
      </c>
      <c r="V41" s="35" t="s">
        <v>151</v>
      </c>
      <c r="W41" s="35" t="s">
        <v>115</v>
      </c>
      <c r="X41" s="35" t="s">
        <v>152</v>
      </c>
      <c r="Y41" s="35" t="s">
        <v>123</v>
      </c>
      <c r="Z41" s="35" t="s">
        <v>153</v>
      </c>
    </row>
    <row r="42" spans="1:26" x14ac:dyDescent="0.2">
      <c r="A42" s="50" t="s">
        <v>93</v>
      </c>
      <c r="B42" s="29" t="str">
        <f t="shared" ref="B42:B77" si="0">IF(A42&lt;&gt;"", A42,"Day_"&amp;D42)</f>
        <v>GROUND</v>
      </c>
      <c r="C42" s="29">
        <v>1</v>
      </c>
      <c r="D42" s="34">
        <v>0</v>
      </c>
      <c r="E42" s="30" t="s">
        <v>126</v>
      </c>
      <c r="F42" s="30" t="str">
        <f>IF(B42&lt;&gt;"", B42&amp;"_Wall", "")</f>
        <v>GROUND_Wall</v>
      </c>
      <c r="G42" s="30">
        <f>IF(F42&lt;&gt;"",$B$12, "")</f>
        <v>3</v>
      </c>
      <c r="H42" s="30"/>
      <c r="I42" s="30" t="str">
        <f>_xlfn.IFNA(INDEX($B$42:$B$97,MATCH((D42-$B$13), $D$42:$D$97,1),1)&amp;"_Floor","")</f>
        <v/>
      </c>
      <c r="J42" s="30" t="str">
        <f>IF(I42&lt;&gt;"",$B$12, "")</f>
        <v/>
      </c>
      <c r="K42" s="30"/>
      <c r="L42" s="30"/>
      <c r="M42" s="30" t="str">
        <f>IF(L42&lt;&gt;"",$B$12, "")</f>
        <v/>
      </c>
      <c r="N42" s="30"/>
      <c r="O42" s="30" t="str">
        <f>_xlfn.IFNA(INDEX($B$42:$B$97,MATCH((D42-$B$13), $D$42:$D$97,1),1)&amp;"_Column","")</f>
        <v/>
      </c>
      <c r="P42" s="30" t="str">
        <f>IF(O42&lt;&gt;"",$B$12+$B$14, "")</f>
        <v/>
      </c>
      <c r="Q42" s="30" t="s">
        <v>148</v>
      </c>
      <c r="R42" s="30">
        <f>IF(Q42&lt;&gt;"",1,"")</f>
        <v>1</v>
      </c>
      <c r="S42" s="30" t="str">
        <f>_xlfn.IFNA(INDEX($B$42:$B$97,MATCH((D42-($B$13+$B$16)), $D$42:$D$97,1),1)&amp;"_Beam","")</f>
        <v/>
      </c>
      <c r="T42" s="30" t="str">
        <f>IF(S42&lt;&gt;"",1,"")</f>
        <v/>
      </c>
      <c r="U42" s="30" t="str">
        <f>_xlfn.IFNA(INDEX($B$42:$B$97,MATCH((D42-($B$13+$B$17)), $D$42:$D$97,1),1)&amp;"_Floor","")</f>
        <v/>
      </c>
      <c r="V42" s="30" t="str">
        <f>IF(U42&lt;&gt;"",1,"")</f>
        <v/>
      </c>
      <c r="W42" s="30" t="str">
        <f>_xlfn.IFNA(INDEX($B$42:$B$97,MATCH((D42-($B$13+$B$18)), $D$42:$D$97,1),1)&amp;"_Floor","")</f>
        <v/>
      </c>
      <c r="X42" s="30" t="str">
        <f>IF(W42&lt;&gt;"",1,"")</f>
        <v/>
      </c>
      <c r="Y42" s="30" t="str">
        <f>_xlfn.IFNA(INDEX($B$42:$B$97,MATCH((D42-($B$13+$B$18)), $D$42:$D$97,1),1)&amp;"_Floor","")</f>
        <v/>
      </c>
      <c r="Z42" s="30" t="str">
        <f>IF(Y42&lt;&gt;"",1,"")</f>
        <v/>
      </c>
    </row>
    <row r="43" spans="1:26" x14ac:dyDescent="0.2">
      <c r="A43" s="50" t="s">
        <v>92</v>
      </c>
      <c r="B43" s="29" t="str">
        <f t="shared" si="0"/>
        <v>Story1</v>
      </c>
      <c r="C43" s="29">
        <v>2</v>
      </c>
      <c r="D43" s="34">
        <f>D42+$B$11</f>
        <v>8</v>
      </c>
      <c r="E43" s="30" t="s">
        <v>126</v>
      </c>
      <c r="F43" s="30" t="str">
        <f>IF(B43&lt;&gt;"", B43&amp;"_Wall", "")</f>
        <v>Story1_Wall</v>
      </c>
      <c r="G43" s="30">
        <f t="shared" ref="G43:G105" si="1">IF(F43&lt;&gt;"",$B$12, "")</f>
        <v>3</v>
      </c>
      <c r="H43" s="30"/>
      <c r="I43" s="30" t="str">
        <f>_xlfn.IFNA(INDEX($B$42:$B$97,MATCH((D43-$B$13), $D$42:$D$97,1),1)&amp;"_Floor","")</f>
        <v/>
      </c>
      <c r="J43" s="30" t="str">
        <f t="shared" ref="J43:J105" si="2">IF(I43&lt;&gt;"",$B$12, "")</f>
        <v/>
      </c>
      <c r="K43" s="30"/>
      <c r="L43" s="30"/>
      <c r="M43" s="30" t="str">
        <f t="shared" ref="M43:M105" si="3">IF(L43&lt;&gt;"",$B$12, "")</f>
        <v/>
      </c>
      <c r="N43" s="30"/>
      <c r="O43" s="30" t="str">
        <f>_xlfn.IFNA(INDEX($B$42:$B$97,MATCH((D43-$B$13), $D$42:$D$97,1),1)&amp;"_Column","")</f>
        <v/>
      </c>
      <c r="P43" s="30" t="str">
        <f t="shared" ref="P43:P105" si="4">IF(O43&lt;&gt;"",$B$12+$B$14, "")</f>
        <v/>
      </c>
      <c r="Q43" s="30" t="s">
        <v>148</v>
      </c>
      <c r="R43" s="30">
        <f t="shared" ref="R43:R105" si="5">IF(Q43&lt;&gt;"",1,"")</f>
        <v>1</v>
      </c>
      <c r="S43" s="30" t="str">
        <f>_xlfn.IFNA(INDEX($B$42:$B$97,MATCH((D43-($B$13+$B$16)), $D$42:$D$97,1),1)&amp;"_Beam","")</f>
        <v/>
      </c>
      <c r="T43" s="30" t="str">
        <f t="shared" ref="T43:T105" si="6">IF(S43&lt;&gt;"",1,"")</f>
        <v/>
      </c>
      <c r="U43" s="30" t="str">
        <f>_xlfn.IFNA(INDEX($B$42:$B$97,MATCH((D43-($B$13+$B$17)), $D$42:$D$97,1),1)&amp;"_Floor","")</f>
        <v/>
      </c>
      <c r="V43" s="30" t="str">
        <f t="shared" ref="V43:V105" si="7">IF(U43&lt;&gt;"",1,"")</f>
        <v/>
      </c>
      <c r="W43" s="30" t="str">
        <f>_xlfn.IFNA(INDEX($B$42:$B$97,MATCH((D43-($B$13+$B$18)), $D$42:$D$97,1),1)&amp;"_Floor","")</f>
        <v/>
      </c>
      <c r="X43" s="30" t="str">
        <f t="shared" ref="X43:X105" si="8">IF(W43&lt;&gt;"",1,"")</f>
        <v/>
      </c>
      <c r="Y43" s="30" t="str">
        <f>_xlfn.IFNA(INDEX($B$42:$B$97,MATCH((D43-($B$13+$B$18)), $D$42:$D$97,1),1)&amp;"_Floor","")</f>
        <v/>
      </c>
      <c r="Z43" s="30" t="str">
        <f t="shared" ref="Z43:Z105" si="9">IF(Y43&lt;&gt;"",1,"")</f>
        <v/>
      </c>
    </row>
    <row r="44" spans="1:26" x14ac:dyDescent="0.2">
      <c r="A44" s="50" t="s">
        <v>91</v>
      </c>
      <c r="B44" s="29" t="str">
        <f t="shared" si="0"/>
        <v>Story2</v>
      </c>
      <c r="C44" s="29">
        <v>3</v>
      </c>
      <c r="D44" s="34">
        <f t="shared" ref="D44:D49" si="10">D43+$B$11</f>
        <v>16</v>
      </c>
      <c r="E44" s="30" t="s">
        <v>126</v>
      </c>
      <c r="F44" s="30" t="str">
        <f>IF(B44&lt;&gt;"", B44&amp;"_Wall", "")</f>
        <v>Story2_Wall</v>
      </c>
      <c r="G44" s="30">
        <f t="shared" si="1"/>
        <v>3</v>
      </c>
      <c r="H44" s="30"/>
      <c r="I44" s="30" t="str">
        <f>_xlfn.IFNA(INDEX($B$42:$B$97,MATCH((D44-$B$13), $D$42:$D$97,1),1)&amp;"_Floor","")</f>
        <v/>
      </c>
      <c r="J44" s="30" t="str">
        <f t="shared" si="2"/>
        <v/>
      </c>
      <c r="K44" s="30"/>
      <c r="L44" s="30"/>
      <c r="M44" s="30" t="str">
        <f t="shared" si="3"/>
        <v/>
      </c>
      <c r="N44" s="30"/>
      <c r="O44" s="30" t="str">
        <f>_xlfn.IFNA(INDEX($B$42:$B$97,MATCH((D44-$B$13), $D$42:$D$97,1),1)&amp;"_Column","")</f>
        <v/>
      </c>
      <c r="P44" s="30" t="str">
        <f t="shared" si="4"/>
        <v/>
      </c>
      <c r="Q44" s="30" t="s">
        <v>148</v>
      </c>
      <c r="R44" s="30">
        <f t="shared" si="5"/>
        <v>1</v>
      </c>
      <c r="S44" s="30" t="str">
        <f>_xlfn.IFNA(INDEX($B$42:$B$97,MATCH((D44-($B$13+$B$16)), $D$42:$D$97,1),1)&amp;"_Beam","")</f>
        <v/>
      </c>
      <c r="T44" s="30" t="str">
        <f t="shared" si="6"/>
        <v/>
      </c>
      <c r="U44" s="30" t="str">
        <f>_xlfn.IFNA(INDEX($B$42:$B$97,MATCH((D44-($B$13+$B$17)), $D$42:$D$97,1),1)&amp;"_Floor","")</f>
        <v/>
      </c>
      <c r="V44" s="30" t="str">
        <f t="shared" si="7"/>
        <v/>
      </c>
      <c r="W44" s="30" t="str">
        <f>_xlfn.IFNA(INDEX($B$42:$B$97,MATCH((D44-($B$13+$B$18)), $D$42:$D$97,1),1)&amp;"_Floor","")</f>
        <v/>
      </c>
      <c r="X44" s="30" t="str">
        <f t="shared" si="8"/>
        <v/>
      </c>
      <c r="Y44" s="30" t="str">
        <f>_xlfn.IFNA(INDEX($B$42:$B$97,MATCH((D44-($B$13+$B$18)), $D$42:$D$97,1),1)&amp;"_Floor","")</f>
        <v/>
      </c>
      <c r="Z44" s="30" t="str">
        <f t="shared" si="9"/>
        <v/>
      </c>
    </row>
    <row r="45" spans="1:26" x14ac:dyDescent="0.2">
      <c r="A45" s="50" t="s">
        <v>90</v>
      </c>
      <c r="B45" s="29" t="str">
        <f t="shared" si="0"/>
        <v>Story3</v>
      </c>
      <c r="C45" s="29">
        <v>4</v>
      </c>
      <c r="D45" s="34">
        <f t="shared" si="10"/>
        <v>24</v>
      </c>
      <c r="E45" s="30" t="s">
        <v>126</v>
      </c>
      <c r="F45" s="30" t="str">
        <f>IF(B45&lt;&gt;"", B45&amp;"_Wall", "")</f>
        <v>Story3_Wall</v>
      </c>
      <c r="G45" s="30">
        <f t="shared" si="1"/>
        <v>3</v>
      </c>
      <c r="H45" s="30"/>
      <c r="I45" s="30" t="str">
        <f>_xlfn.IFNA(INDEX($B$42:$B$97,MATCH((D45-$B$13), $D$42:$D$97,1),1)&amp;"_Floor","")</f>
        <v/>
      </c>
      <c r="J45" s="30" t="str">
        <f t="shared" si="2"/>
        <v/>
      </c>
      <c r="K45" s="30"/>
      <c r="L45" s="30"/>
      <c r="M45" s="30" t="str">
        <f t="shared" si="3"/>
        <v/>
      </c>
      <c r="N45" s="30"/>
      <c r="O45" s="30" t="str">
        <f>_xlfn.IFNA(INDEX($B$42:$B$97,MATCH((D45-$B$13), $D$42:$D$97,1),1)&amp;"_Column","")</f>
        <v/>
      </c>
      <c r="P45" s="30" t="str">
        <f t="shared" si="4"/>
        <v/>
      </c>
      <c r="Q45" s="30" t="s">
        <v>148</v>
      </c>
      <c r="R45" s="30">
        <f t="shared" si="5"/>
        <v>1</v>
      </c>
      <c r="S45" s="30" t="str">
        <f>_xlfn.IFNA(INDEX($B$42:$B$97,MATCH((D45-($B$13+$B$16)), $D$42:$D$97,1),1)&amp;"_Beam","")</f>
        <v/>
      </c>
      <c r="T45" s="30" t="str">
        <f t="shared" si="6"/>
        <v/>
      </c>
      <c r="U45" s="30" t="str">
        <f>_xlfn.IFNA(INDEX($B$42:$B$97,MATCH((D45-($B$13+$B$17)), $D$42:$D$97,1),1)&amp;"_Floor","")</f>
        <v/>
      </c>
      <c r="V45" s="30" t="str">
        <f t="shared" si="7"/>
        <v/>
      </c>
      <c r="W45" s="30" t="str">
        <f>_xlfn.IFNA(INDEX($B$42:$B$97,MATCH((D45-($B$13+$B$18)), $D$42:$D$97,1),1)&amp;"_Floor","")</f>
        <v/>
      </c>
      <c r="X45" s="30" t="str">
        <f t="shared" si="8"/>
        <v/>
      </c>
      <c r="Y45" s="30" t="str">
        <f>_xlfn.IFNA(INDEX($B$42:$B$97,MATCH((D45-($B$13+$B$18)), $D$42:$D$97,1),1)&amp;"_Floor","")</f>
        <v/>
      </c>
      <c r="Z45" s="30" t="str">
        <f t="shared" si="9"/>
        <v/>
      </c>
    </row>
    <row r="46" spans="1:26" x14ac:dyDescent="0.2">
      <c r="A46" s="50" t="s">
        <v>89</v>
      </c>
      <c r="B46" s="29" t="str">
        <f t="shared" si="0"/>
        <v>Story4</v>
      </c>
      <c r="C46" s="29">
        <v>5</v>
      </c>
      <c r="D46" s="34">
        <f t="shared" si="10"/>
        <v>32</v>
      </c>
      <c r="E46" s="30" t="s">
        <v>126</v>
      </c>
      <c r="F46" s="30" t="str">
        <f>IF(B46&lt;&gt;"", B46&amp;"_Wall", "")</f>
        <v>Story4_Wall</v>
      </c>
      <c r="G46" s="30">
        <f t="shared" si="1"/>
        <v>3</v>
      </c>
      <c r="H46" s="30"/>
      <c r="I46" s="30" t="str">
        <f>_xlfn.IFNA(INDEX($B$42:$B$97,MATCH((D46-$B$13), $D$42:$D$97,1),1)&amp;"_Floor","")</f>
        <v/>
      </c>
      <c r="J46" s="30" t="str">
        <f t="shared" si="2"/>
        <v/>
      </c>
      <c r="K46" s="30"/>
      <c r="L46" s="30"/>
      <c r="M46" s="30" t="str">
        <f t="shared" si="3"/>
        <v/>
      </c>
      <c r="N46" s="30"/>
      <c r="O46" s="30" t="str">
        <f>_xlfn.IFNA(INDEX($B$42:$B$97,MATCH((D46-$B$13), $D$42:$D$97,1),1)&amp;"_Column","")</f>
        <v/>
      </c>
      <c r="P46" s="30" t="str">
        <f t="shared" si="4"/>
        <v/>
      </c>
      <c r="Q46" s="30" t="s">
        <v>148</v>
      </c>
      <c r="R46" s="30">
        <f t="shared" si="5"/>
        <v>1</v>
      </c>
      <c r="S46" s="30" t="str">
        <f>_xlfn.IFNA(INDEX($B$42:$B$97,MATCH((D46-($B$13+$B$16)), $D$42:$D$97,1),1)&amp;"_Beam","")</f>
        <v/>
      </c>
      <c r="T46" s="30" t="str">
        <f t="shared" si="6"/>
        <v/>
      </c>
      <c r="U46" s="30" t="str">
        <f>_xlfn.IFNA(INDEX($B$42:$B$97,MATCH((D46-($B$13+$B$17)), $D$42:$D$97,1),1)&amp;"_Floor","")</f>
        <v/>
      </c>
      <c r="V46" s="30" t="str">
        <f t="shared" si="7"/>
        <v/>
      </c>
      <c r="W46" s="30" t="str">
        <f>_xlfn.IFNA(INDEX($B$42:$B$97,MATCH((D46-($B$13+$B$18)), $D$42:$D$97,1),1)&amp;"_Floor","")</f>
        <v/>
      </c>
      <c r="X46" s="30" t="str">
        <f t="shared" si="8"/>
        <v/>
      </c>
      <c r="Y46" s="30" t="str">
        <f>_xlfn.IFNA(INDEX($B$42:$B$97,MATCH((D46-($B$13+$B$18)), $D$42:$D$97,1),1)&amp;"_Floor","")</f>
        <v/>
      </c>
      <c r="Z46" s="30" t="str">
        <f t="shared" si="9"/>
        <v/>
      </c>
    </row>
    <row r="47" spans="1:26" x14ac:dyDescent="0.2">
      <c r="A47" s="50" t="s">
        <v>88</v>
      </c>
      <c r="B47" s="29" t="str">
        <f t="shared" si="0"/>
        <v>Story5</v>
      </c>
      <c r="C47" s="29">
        <v>6</v>
      </c>
      <c r="D47" s="34">
        <f t="shared" si="10"/>
        <v>40</v>
      </c>
      <c r="E47" s="30" t="s">
        <v>126</v>
      </c>
      <c r="F47" s="30" t="str">
        <f>IF(B47&lt;&gt;"", B47&amp;"_Wall", "")</f>
        <v>Story5_Wall</v>
      </c>
      <c r="G47" s="30">
        <f t="shared" si="1"/>
        <v>3</v>
      </c>
      <c r="H47" s="30" t="s">
        <v>126</v>
      </c>
      <c r="I47" s="30" t="str">
        <f>_xlfn.IFNA(INDEX($B$42:$B$97,MATCH((D47-$B$13), $D$42:$D$97,1),1)&amp;"_Floor","")</f>
        <v>GROUND_Floor</v>
      </c>
      <c r="J47" s="30">
        <f t="shared" si="2"/>
        <v>3</v>
      </c>
      <c r="K47" s="30" t="s">
        <v>126</v>
      </c>
      <c r="L47" s="30"/>
      <c r="M47" s="30" t="str">
        <f t="shared" si="3"/>
        <v/>
      </c>
      <c r="N47" s="30" t="s">
        <v>126</v>
      </c>
      <c r="O47" s="30" t="str">
        <f>_xlfn.IFNA(INDEX($B$42:$B$97,MATCH((D47-$B$13), $D$42:$D$97,1),1)&amp;"_Column","")</f>
        <v>GROUND_Column</v>
      </c>
      <c r="P47" s="30">
        <f t="shared" si="4"/>
        <v>6</v>
      </c>
      <c r="Q47" s="30" t="s">
        <v>148</v>
      </c>
      <c r="R47" s="30">
        <f t="shared" si="5"/>
        <v>1</v>
      </c>
      <c r="S47" s="30" t="str">
        <f>_xlfn.IFNA(INDEX($B$42:$B$97,MATCH((D47-($B$13+$B$16)), $D$42:$D$97,1),1)&amp;"_Beam","")</f>
        <v/>
      </c>
      <c r="T47" s="30" t="str">
        <f t="shared" si="6"/>
        <v/>
      </c>
      <c r="U47" s="30" t="str">
        <f>_xlfn.IFNA(INDEX($B$42:$B$97,MATCH((D47-($B$13+$B$17)), $D$42:$D$97,1),1)&amp;"_Floor","")</f>
        <v/>
      </c>
      <c r="V47" s="30" t="str">
        <f t="shared" si="7"/>
        <v/>
      </c>
      <c r="W47" s="30" t="str">
        <f>_xlfn.IFNA(INDEX($B$42:$B$97,MATCH((D47-($B$13+$B$18)), $D$42:$D$97,1),1)&amp;"_Floor","")</f>
        <v/>
      </c>
      <c r="X47" s="30" t="str">
        <f t="shared" si="8"/>
        <v/>
      </c>
      <c r="Y47" s="30" t="str">
        <f>_xlfn.IFNA(INDEX($B$42:$B$97,MATCH((D47-($B$13+$B$18)), $D$42:$D$97,1),1)&amp;"_Floor","")</f>
        <v/>
      </c>
      <c r="Z47" s="30" t="str">
        <f t="shared" si="9"/>
        <v/>
      </c>
    </row>
    <row r="48" spans="1:26" x14ac:dyDescent="0.2">
      <c r="A48" s="50" t="s">
        <v>87</v>
      </c>
      <c r="B48" s="29" t="str">
        <f t="shared" si="0"/>
        <v>Story6</v>
      </c>
      <c r="C48" s="29">
        <v>7</v>
      </c>
      <c r="D48" s="34">
        <f t="shared" si="10"/>
        <v>48</v>
      </c>
      <c r="E48" s="30" t="s">
        <v>126</v>
      </c>
      <c r="F48" s="30" t="str">
        <f>IF(B48&lt;&gt;"", B48&amp;"_Wall", "")</f>
        <v>Story6_Wall</v>
      </c>
      <c r="G48" s="30">
        <f t="shared" si="1"/>
        <v>3</v>
      </c>
      <c r="H48" s="30" t="s">
        <v>126</v>
      </c>
      <c r="I48" s="30" t="str">
        <f>_xlfn.IFNA(INDEX($B$42:$B$97,MATCH((D48-$B$13), $D$42:$D$97,1),1)&amp;"_Floor","")</f>
        <v>Story1_Floor</v>
      </c>
      <c r="J48" s="30">
        <f t="shared" si="2"/>
        <v>3</v>
      </c>
      <c r="K48" s="30" t="s">
        <v>126</v>
      </c>
      <c r="L48" s="30"/>
      <c r="M48" s="30" t="str">
        <f t="shared" si="3"/>
        <v/>
      </c>
      <c r="N48" s="30" t="s">
        <v>126</v>
      </c>
      <c r="O48" s="30" t="str">
        <f>_xlfn.IFNA(INDEX($B$42:$B$97,MATCH((D48-$B$13), $D$42:$D$97,1),1)&amp;"_Column","")</f>
        <v>Story1_Column</v>
      </c>
      <c r="P48" s="30">
        <f t="shared" si="4"/>
        <v>6</v>
      </c>
      <c r="Q48" s="30" t="s">
        <v>148</v>
      </c>
      <c r="R48" s="30">
        <f t="shared" si="5"/>
        <v>1</v>
      </c>
      <c r="S48" s="30" t="str">
        <f>_xlfn.IFNA(INDEX($B$42:$B$97,MATCH((D48-($B$13+$B$16)), $D$42:$D$97,1),1)&amp;"_Beam","")</f>
        <v/>
      </c>
      <c r="T48" s="30" t="str">
        <f t="shared" si="6"/>
        <v/>
      </c>
      <c r="U48" s="30" t="str">
        <f>_xlfn.IFNA(INDEX($B$42:$B$97,MATCH((D48-($B$13+$B$17)), $D$42:$D$97,1),1)&amp;"_Floor","")</f>
        <v/>
      </c>
      <c r="V48" s="30" t="str">
        <f t="shared" si="7"/>
        <v/>
      </c>
      <c r="W48" s="30" t="str">
        <f>_xlfn.IFNA(INDEX($B$42:$B$97,MATCH((D48-($B$13+$B$18)), $D$42:$D$97,1),1)&amp;"_Floor","")</f>
        <v/>
      </c>
      <c r="X48" s="30" t="str">
        <f t="shared" si="8"/>
        <v/>
      </c>
      <c r="Y48" s="30" t="str">
        <f>_xlfn.IFNA(INDEX($B$42:$B$97,MATCH((D48-($B$13+$B$18)), $D$42:$D$97,1),1)&amp;"_Floor","")</f>
        <v/>
      </c>
      <c r="Z48" s="30" t="str">
        <f t="shared" si="9"/>
        <v/>
      </c>
    </row>
    <row r="49" spans="1:26" x14ac:dyDescent="0.2">
      <c r="A49" s="50" t="s">
        <v>86</v>
      </c>
      <c r="B49" s="29" t="str">
        <f t="shared" si="0"/>
        <v>Story7</v>
      </c>
      <c r="C49" s="29">
        <v>8</v>
      </c>
      <c r="D49" s="34">
        <f t="shared" si="10"/>
        <v>56</v>
      </c>
      <c r="E49" s="30" t="s">
        <v>126</v>
      </c>
      <c r="F49" s="30" t="str">
        <f>IF(B49&lt;&gt;"", B49&amp;"_Wall", "")</f>
        <v>Story7_Wall</v>
      </c>
      <c r="G49" s="30">
        <f t="shared" si="1"/>
        <v>3</v>
      </c>
      <c r="H49" s="30" t="s">
        <v>126</v>
      </c>
      <c r="I49" s="30" t="str">
        <f>_xlfn.IFNA(INDEX($B$42:$B$97,MATCH((D49-$B$13), $D$42:$D$97,1),1)&amp;"_Floor","")</f>
        <v>Story2_Floor</v>
      </c>
      <c r="J49" s="30">
        <f t="shared" si="2"/>
        <v>3</v>
      </c>
      <c r="K49" s="30" t="s">
        <v>126</v>
      </c>
      <c r="L49" s="30"/>
      <c r="M49" s="30" t="str">
        <f t="shared" si="3"/>
        <v/>
      </c>
      <c r="N49" s="30" t="s">
        <v>126</v>
      </c>
      <c r="O49" s="30" t="str">
        <f>_xlfn.IFNA(INDEX($B$42:$B$97,MATCH((D49-$B$13), $D$42:$D$97,1),1)&amp;"_Column","")</f>
        <v>Story2_Column</v>
      </c>
      <c r="P49" s="30">
        <f t="shared" si="4"/>
        <v>6</v>
      </c>
      <c r="Q49" s="30" t="s">
        <v>148</v>
      </c>
      <c r="R49" s="30">
        <f t="shared" si="5"/>
        <v>1</v>
      </c>
      <c r="S49" s="30" t="str">
        <f>_xlfn.IFNA(INDEX($B$42:$B$97,MATCH((D49-($B$13+$B$16)), $D$42:$D$97,1),1)&amp;"_Beam","")</f>
        <v/>
      </c>
      <c r="T49" s="30" t="str">
        <f t="shared" si="6"/>
        <v/>
      </c>
      <c r="U49" s="30" t="str">
        <f>_xlfn.IFNA(INDEX($B$42:$B$97,MATCH((D49-($B$13+$B$17)), $D$42:$D$97,1),1)&amp;"_Floor","")</f>
        <v/>
      </c>
      <c r="V49" s="30" t="str">
        <f t="shared" si="7"/>
        <v/>
      </c>
      <c r="W49" s="30" t="str">
        <f>_xlfn.IFNA(INDEX($B$42:$B$97,MATCH((D49-($B$13+$B$18)), $D$42:$D$97,1),1)&amp;"_Floor","")</f>
        <v/>
      </c>
      <c r="X49" s="30" t="str">
        <f t="shared" si="8"/>
        <v/>
      </c>
      <c r="Y49" s="30" t="str">
        <f>_xlfn.IFNA(INDEX($B$42:$B$97,MATCH((D49-($B$13+$B$18)), $D$42:$D$97,1),1)&amp;"_Floor","")</f>
        <v/>
      </c>
      <c r="Z49" s="30" t="str">
        <f t="shared" si="9"/>
        <v/>
      </c>
    </row>
    <row r="50" spans="1:26" x14ac:dyDescent="0.2">
      <c r="A50" s="50" t="s">
        <v>85</v>
      </c>
      <c r="B50" s="29" t="str">
        <f t="shared" si="0"/>
        <v>Story8</v>
      </c>
      <c r="C50" s="29">
        <v>9</v>
      </c>
      <c r="D50" s="34">
        <f t="shared" ref="D50:D97" si="11">D49+$B$11</f>
        <v>64</v>
      </c>
      <c r="E50" s="30" t="s">
        <v>126</v>
      </c>
      <c r="F50" s="30" t="str">
        <f>IF(B50&lt;&gt;"", B50&amp;"_Wall", "")</f>
        <v>Story8_Wall</v>
      </c>
      <c r="G50" s="30">
        <f t="shared" si="1"/>
        <v>3</v>
      </c>
      <c r="H50" s="30" t="s">
        <v>126</v>
      </c>
      <c r="I50" s="30" t="str">
        <f>IF(_xlfn.IFNA(INDEX($B$42:$B$97,MATCH((D50-$B$13), $D$42:$D$97,1),1)&amp;"_Floor","") = "_Floor", "", INDEX($B$42:$B$97,MATCH((D50-$B$13), $D$42:$D$97,1),1)&amp;"_Floor")</f>
        <v>Story3_Floor</v>
      </c>
      <c r="J50" s="30">
        <f t="shared" si="2"/>
        <v>3</v>
      </c>
      <c r="K50" s="30" t="s">
        <v>126</v>
      </c>
      <c r="L50" s="30"/>
      <c r="M50" s="30" t="str">
        <f t="shared" si="3"/>
        <v/>
      </c>
      <c r="N50" s="30" t="s">
        <v>126</v>
      </c>
      <c r="O50" s="30" t="str">
        <f>_xlfn.IFNA(INDEX($B$42:$B$97,MATCH((D50-$B$13), $D$42:$D$97,1),1)&amp;"_Column","")</f>
        <v>Story3_Column</v>
      </c>
      <c r="P50" s="30">
        <f t="shared" si="4"/>
        <v>6</v>
      </c>
      <c r="Q50" s="30" t="s">
        <v>148</v>
      </c>
      <c r="R50" s="30">
        <f t="shared" si="5"/>
        <v>1</v>
      </c>
      <c r="S50" s="30" t="str">
        <f>_xlfn.IFNA(INDEX($B$42:$B$97,MATCH((D50-($B$13+$B$16)), $D$42:$D$97,1),1)&amp;"_Beam","")</f>
        <v/>
      </c>
      <c r="T50" s="30" t="str">
        <f t="shared" si="6"/>
        <v/>
      </c>
      <c r="U50" s="30" t="str">
        <f>_xlfn.IFNA(INDEX($B$42:$B$97,MATCH((D50-($B$13+$B$17)), $D$42:$D$97,1),1)&amp;"_Floor","")</f>
        <v/>
      </c>
      <c r="V50" s="30" t="str">
        <f t="shared" si="7"/>
        <v/>
      </c>
      <c r="W50" s="30" t="str">
        <f>_xlfn.IFNA(INDEX($B$42:$B$97,MATCH((D50-($B$13+$B$18)), $D$42:$D$97,1),1)&amp;"_Floor","")</f>
        <v/>
      </c>
      <c r="X50" s="30" t="str">
        <f t="shared" si="8"/>
        <v/>
      </c>
      <c r="Y50" s="30" t="str">
        <f>_xlfn.IFNA(INDEX($B$42:$B$97,MATCH((D50-($B$13+$B$18)), $D$42:$D$97,1),1)&amp;"_Floor","")</f>
        <v/>
      </c>
      <c r="Z50" s="30" t="str">
        <f t="shared" si="9"/>
        <v/>
      </c>
    </row>
    <row r="51" spans="1:26" x14ac:dyDescent="0.2">
      <c r="A51" s="50" t="s">
        <v>84</v>
      </c>
      <c r="B51" s="29" t="str">
        <f t="shared" si="0"/>
        <v>Story9</v>
      </c>
      <c r="C51" s="29">
        <v>10</v>
      </c>
      <c r="D51" s="34">
        <f t="shared" si="11"/>
        <v>72</v>
      </c>
      <c r="E51" s="30" t="s">
        <v>126</v>
      </c>
      <c r="F51" s="30" t="str">
        <f>IF(B51&lt;&gt;"", B51&amp;"_Wall", "")</f>
        <v>Story9_Wall</v>
      </c>
      <c r="G51" s="30">
        <f t="shared" si="1"/>
        <v>3</v>
      </c>
      <c r="H51" s="30" t="s">
        <v>126</v>
      </c>
      <c r="I51" s="30" t="str">
        <f>_xlfn.IFNA(INDEX($B$42:$B$97,MATCH((D51-$B$13), $D$42:$D$97,1),1)&amp;"_Floor","")</f>
        <v>Story4_Floor</v>
      </c>
      <c r="J51" s="30">
        <f t="shared" si="2"/>
        <v>3</v>
      </c>
      <c r="K51" s="30" t="s">
        <v>126</v>
      </c>
      <c r="L51" s="30"/>
      <c r="M51" s="30" t="str">
        <f t="shared" si="3"/>
        <v/>
      </c>
      <c r="N51" s="30" t="s">
        <v>126</v>
      </c>
      <c r="O51" s="30" t="str">
        <f>_xlfn.IFNA(INDEX($B$42:$B$97,MATCH((D51-$B$13), $D$42:$D$97,1),1)&amp;"_Column","")</f>
        <v>Story4_Column</v>
      </c>
      <c r="P51" s="30">
        <f t="shared" si="4"/>
        <v>6</v>
      </c>
      <c r="Q51" s="30" t="s">
        <v>148</v>
      </c>
      <c r="R51" s="30">
        <f t="shared" si="5"/>
        <v>1</v>
      </c>
      <c r="S51" s="30"/>
      <c r="T51" s="30" t="str">
        <f t="shared" si="6"/>
        <v/>
      </c>
      <c r="U51" s="30" t="str">
        <f>_xlfn.IFNA(INDEX($B$42:$B$97,MATCH((D51-($B$13+$B$17)), $D$42:$D$97,1),1)&amp;"_Floor","")</f>
        <v/>
      </c>
      <c r="V51" s="30" t="str">
        <f t="shared" si="7"/>
        <v/>
      </c>
      <c r="W51" s="30" t="str">
        <f>_xlfn.IFNA(INDEX($B$42:$B$97,MATCH((D51-($B$13+$B$18)), $D$42:$D$97,1),1)&amp;"_Floor","")</f>
        <v/>
      </c>
      <c r="X51" s="30" t="str">
        <f t="shared" si="8"/>
        <v/>
      </c>
      <c r="Y51" s="30" t="str">
        <f>_xlfn.IFNA(INDEX($B$42:$B$97,MATCH((D51-($B$13+$B$18)), $D$42:$D$97,1),1)&amp;"_Floor","")</f>
        <v/>
      </c>
      <c r="Z51" s="30" t="str">
        <f t="shared" si="9"/>
        <v/>
      </c>
    </row>
    <row r="52" spans="1:26" x14ac:dyDescent="0.2">
      <c r="A52" s="50" t="s">
        <v>83</v>
      </c>
      <c r="B52" s="29" t="str">
        <f t="shared" si="0"/>
        <v>Story10</v>
      </c>
      <c r="C52" s="29">
        <v>11</v>
      </c>
      <c r="D52" s="34">
        <f t="shared" si="11"/>
        <v>80</v>
      </c>
      <c r="E52" s="30" t="s">
        <v>126</v>
      </c>
      <c r="F52" s="30" t="str">
        <f>IF(B52&lt;&gt;"", B52&amp;"_Wall", "")</f>
        <v>Story10_Wall</v>
      </c>
      <c r="G52" s="30">
        <f t="shared" si="1"/>
        <v>3</v>
      </c>
      <c r="H52" s="30" t="s">
        <v>126</v>
      </c>
      <c r="I52" s="30" t="str">
        <f>_xlfn.IFNA(INDEX($B$42:$B$97,MATCH((D52-$B$13), $D$42:$D$97,1),1)&amp;"_Floor","")</f>
        <v>Story5_Floor</v>
      </c>
      <c r="J52" s="30">
        <f t="shared" si="2"/>
        <v>3</v>
      </c>
      <c r="K52" s="30" t="s">
        <v>126</v>
      </c>
      <c r="L52" s="30"/>
      <c r="M52" s="30" t="str">
        <f t="shared" si="3"/>
        <v/>
      </c>
      <c r="N52" s="30" t="s">
        <v>126</v>
      </c>
      <c r="O52" s="30" t="str">
        <f>_xlfn.IFNA(INDEX($B$42:$B$97,MATCH((D52-$B$13), $D$42:$D$97,1),1)&amp;"_Column","")</f>
        <v>Story5_Column</v>
      </c>
      <c r="P52" s="30">
        <f t="shared" si="4"/>
        <v>6</v>
      </c>
      <c r="Q52" s="30" t="s">
        <v>148</v>
      </c>
      <c r="R52" s="30">
        <f t="shared" si="5"/>
        <v>1</v>
      </c>
      <c r="S52" s="30"/>
      <c r="T52" s="30" t="str">
        <f t="shared" si="6"/>
        <v/>
      </c>
      <c r="U52" s="30" t="str">
        <f>_xlfn.IFNA(INDEX($B$42:$B$97,MATCH((D52-($B$13+$B$17)), $D$42:$D$97,1),1)&amp;"_Floor","")</f>
        <v/>
      </c>
      <c r="V52" s="30" t="str">
        <f t="shared" si="7"/>
        <v/>
      </c>
      <c r="W52" s="30" t="str">
        <f>_xlfn.IFNA(INDEX($B$42:$B$97,MATCH((D52-($B$13+$B$18)), $D$42:$D$97,1),1)&amp;"_Floor","")</f>
        <v/>
      </c>
      <c r="X52" s="30" t="str">
        <f t="shared" si="8"/>
        <v/>
      </c>
      <c r="Y52" s="30" t="str">
        <f>_xlfn.IFNA(INDEX($B$42:$B$97,MATCH((D52-($B$13+$B$18)), $D$42:$D$97,1),1)&amp;"_Floor","")</f>
        <v/>
      </c>
      <c r="Z52" s="30" t="str">
        <f t="shared" si="9"/>
        <v/>
      </c>
    </row>
    <row r="53" spans="1:26" x14ac:dyDescent="0.2">
      <c r="A53" s="50" t="s">
        <v>82</v>
      </c>
      <c r="B53" s="29" t="str">
        <f t="shared" si="0"/>
        <v>Story11</v>
      </c>
      <c r="C53" s="29">
        <v>12</v>
      </c>
      <c r="D53" s="34">
        <f t="shared" si="11"/>
        <v>88</v>
      </c>
      <c r="E53" s="30" t="s">
        <v>126</v>
      </c>
      <c r="F53" s="30" t="str">
        <f>IF(B53&lt;&gt;"", B53&amp;"_Wall", "")</f>
        <v>Story11_Wall</v>
      </c>
      <c r="G53" s="30">
        <f t="shared" si="1"/>
        <v>3</v>
      </c>
      <c r="H53" s="30" t="s">
        <v>126</v>
      </c>
      <c r="I53" s="30" t="str">
        <f>_xlfn.IFNA(INDEX($B$42:$B$97,MATCH((D53-$B$13), $D$42:$D$97,1),1)&amp;"_Floor","")</f>
        <v>Story6_Floor</v>
      </c>
      <c r="J53" s="30">
        <f t="shared" si="2"/>
        <v>3</v>
      </c>
      <c r="K53" s="30" t="s">
        <v>126</v>
      </c>
      <c r="L53" s="30"/>
      <c r="M53" s="30" t="str">
        <f t="shared" si="3"/>
        <v/>
      </c>
      <c r="N53" s="30" t="s">
        <v>126</v>
      </c>
      <c r="O53" s="30" t="str">
        <f>_xlfn.IFNA(INDEX($B$42:$B$97,MATCH((D53-$B$13), $D$42:$D$97,1),1)&amp;"_Column","")</f>
        <v>Story6_Column</v>
      </c>
      <c r="P53" s="30">
        <f t="shared" si="4"/>
        <v>6</v>
      </c>
      <c r="Q53" s="30" t="s">
        <v>148</v>
      </c>
      <c r="R53" s="30">
        <f t="shared" si="5"/>
        <v>1</v>
      </c>
      <c r="S53" s="30"/>
      <c r="T53" s="30" t="str">
        <f t="shared" si="6"/>
        <v/>
      </c>
      <c r="U53" s="30" t="str">
        <f>_xlfn.IFNA(INDEX($B$42:$B$97,MATCH((D53-($B$13+$B$17)), $D$42:$D$97,1),1)&amp;"_Floor","")</f>
        <v/>
      </c>
      <c r="V53" s="30" t="str">
        <f t="shared" si="7"/>
        <v/>
      </c>
      <c r="W53" s="30" t="str">
        <f>_xlfn.IFNA(INDEX($B$42:$B$97,MATCH((D53-($B$13+$B$18)), $D$42:$D$97,1),1)&amp;"_Floor","")</f>
        <v/>
      </c>
      <c r="X53" s="30" t="str">
        <f t="shared" si="8"/>
        <v/>
      </c>
      <c r="Y53" s="30" t="str">
        <f>_xlfn.IFNA(INDEX($B$42:$B$97,MATCH((D53-($B$13+$B$18)), $D$42:$D$97,1),1)&amp;"_Floor","")</f>
        <v/>
      </c>
      <c r="Z53" s="30" t="str">
        <f t="shared" si="9"/>
        <v/>
      </c>
    </row>
    <row r="54" spans="1:26" x14ac:dyDescent="0.2">
      <c r="A54" s="50" t="s">
        <v>81</v>
      </c>
      <c r="B54" s="29" t="str">
        <f t="shared" si="0"/>
        <v>Story12</v>
      </c>
      <c r="C54" s="29">
        <v>13</v>
      </c>
      <c r="D54" s="34">
        <f t="shared" si="11"/>
        <v>96</v>
      </c>
      <c r="E54" s="30" t="s">
        <v>126</v>
      </c>
      <c r="F54" s="30" t="str">
        <f>IF(B54&lt;&gt;"", B54&amp;"_Wall", "")</f>
        <v>Story12_Wall</v>
      </c>
      <c r="G54" s="30">
        <f t="shared" si="1"/>
        <v>3</v>
      </c>
      <c r="H54" s="30" t="s">
        <v>126</v>
      </c>
      <c r="I54" s="30" t="str">
        <f>_xlfn.IFNA(INDEX($B$42:$B$97,MATCH((D54-$B$13), $D$42:$D$97,1),1)&amp;"_Floor","")</f>
        <v>Story7_Floor</v>
      </c>
      <c r="J54" s="30">
        <f t="shared" si="2"/>
        <v>3</v>
      </c>
      <c r="K54" s="30" t="s">
        <v>126</v>
      </c>
      <c r="L54" s="30"/>
      <c r="M54" s="30" t="str">
        <f t="shared" si="3"/>
        <v/>
      </c>
      <c r="N54" s="30" t="s">
        <v>126</v>
      </c>
      <c r="O54" s="30" t="str">
        <f>_xlfn.IFNA(INDEX($B$42:$B$97,MATCH((D54-$B$13), $D$42:$D$97,1),1)&amp;"_Column","")</f>
        <v>Story7_Column</v>
      </c>
      <c r="P54" s="30">
        <f t="shared" si="4"/>
        <v>6</v>
      </c>
      <c r="Q54" s="30" t="s">
        <v>148</v>
      </c>
      <c r="R54" s="30">
        <f t="shared" si="5"/>
        <v>1</v>
      </c>
      <c r="S54" s="30"/>
      <c r="T54" s="30" t="str">
        <f t="shared" si="6"/>
        <v/>
      </c>
      <c r="U54" s="30" t="str">
        <f>_xlfn.IFNA(INDEX($B$42:$B$97,MATCH((D54-($B$13+$B$17)), $D$42:$D$97,1),1)&amp;"_Floor","")</f>
        <v/>
      </c>
      <c r="V54" s="30" t="str">
        <f t="shared" si="7"/>
        <v/>
      </c>
      <c r="W54" s="30" t="str">
        <f>_xlfn.IFNA(INDEX($B$42:$B$97,MATCH((D54-($B$13+$B$18)), $D$42:$D$97,1),1)&amp;"_Floor","")</f>
        <v/>
      </c>
      <c r="X54" s="30" t="str">
        <f t="shared" si="8"/>
        <v/>
      </c>
      <c r="Y54" s="30" t="str">
        <f>_xlfn.IFNA(INDEX($B$42:$B$97,MATCH((D54-($B$13+$B$18)), $D$42:$D$97,1),1)&amp;"_Floor","")</f>
        <v/>
      </c>
      <c r="Z54" s="30" t="str">
        <f t="shared" si="9"/>
        <v/>
      </c>
    </row>
    <row r="55" spans="1:26" x14ac:dyDescent="0.2">
      <c r="A55" s="50" t="s">
        <v>80</v>
      </c>
      <c r="B55" s="29" t="str">
        <f t="shared" si="0"/>
        <v>Story13</v>
      </c>
      <c r="C55" s="29">
        <v>14</v>
      </c>
      <c r="D55" s="34">
        <f t="shared" si="11"/>
        <v>104</v>
      </c>
      <c r="E55" s="30" t="s">
        <v>126</v>
      </c>
      <c r="F55" s="30" t="str">
        <f>IF(B55&lt;&gt;"", B55&amp;"_Wall", "")</f>
        <v>Story13_Wall</v>
      </c>
      <c r="G55" s="30">
        <f t="shared" si="1"/>
        <v>3</v>
      </c>
      <c r="H55" s="30" t="s">
        <v>126</v>
      </c>
      <c r="I55" s="30" t="str">
        <f>_xlfn.IFNA(INDEX($B$42:$B$97,MATCH((D55-$B$13), $D$42:$D$97,1),1)&amp;"_Floor","")</f>
        <v>Story8_Floor</v>
      </c>
      <c r="J55" s="30">
        <f t="shared" si="2"/>
        <v>3</v>
      </c>
      <c r="K55" s="30" t="s">
        <v>126</v>
      </c>
      <c r="L55" s="30"/>
      <c r="M55" s="30" t="str">
        <f t="shared" si="3"/>
        <v/>
      </c>
      <c r="N55" s="30" t="s">
        <v>126</v>
      </c>
      <c r="O55" s="30" t="str">
        <f>_xlfn.IFNA(INDEX($B$42:$B$97,MATCH((D55-$B$13), $D$42:$D$97,1),1)&amp;"_Column","")</f>
        <v>Story8_Column</v>
      </c>
      <c r="P55" s="30">
        <f t="shared" si="4"/>
        <v>6</v>
      </c>
      <c r="Q55" s="30" t="s">
        <v>148</v>
      </c>
      <c r="R55" s="30">
        <f t="shared" si="5"/>
        <v>1</v>
      </c>
      <c r="S55" s="30"/>
      <c r="T55" s="30" t="str">
        <f t="shared" si="6"/>
        <v/>
      </c>
      <c r="U55" s="30" t="str">
        <f>_xlfn.IFNA(INDEX($B$42:$B$97,MATCH((D55-($B$13+$B$17)), $D$42:$D$97,1),1)&amp;"_Floor","")</f>
        <v/>
      </c>
      <c r="V55" s="30" t="str">
        <f t="shared" si="7"/>
        <v/>
      </c>
      <c r="W55" s="30" t="str">
        <f>_xlfn.IFNA(INDEX($B$42:$B$97,MATCH((D55-($B$13+$B$18)), $D$42:$D$97,1),1)&amp;"_Floor","")</f>
        <v/>
      </c>
      <c r="X55" s="30" t="str">
        <f t="shared" si="8"/>
        <v/>
      </c>
      <c r="Y55" s="30" t="str">
        <f>_xlfn.IFNA(INDEX($B$42:$B$97,MATCH((D55-($B$13+$B$18)), $D$42:$D$97,1),1)&amp;"_Floor","")</f>
        <v/>
      </c>
      <c r="Z55" s="30" t="str">
        <f t="shared" si="9"/>
        <v/>
      </c>
    </row>
    <row r="56" spans="1:26" x14ac:dyDescent="0.2">
      <c r="A56" s="50" t="s">
        <v>79</v>
      </c>
      <c r="B56" s="29" t="str">
        <f t="shared" si="0"/>
        <v>Story14</v>
      </c>
      <c r="C56" s="29">
        <v>15</v>
      </c>
      <c r="D56" s="34">
        <f t="shared" si="11"/>
        <v>112</v>
      </c>
      <c r="E56" s="30" t="s">
        <v>126</v>
      </c>
      <c r="F56" s="30" t="str">
        <f>IF(B56&lt;&gt;"", B56&amp;"_Wall", "")</f>
        <v>Story14_Wall</v>
      </c>
      <c r="G56" s="30">
        <f t="shared" si="1"/>
        <v>3</v>
      </c>
      <c r="H56" s="30" t="s">
        <v>126</v>
      </c>
      <c r="I56" s="30" t="str">
        <f>_xlfn.IFNA(INDEX($B$42:$B$97,MATCH((D56-$B$13), $D$42:$D$97,1),1)&amp;"_Floor","")</f>
        <v>Story9_Floor</v>
      </c>
      <c r="J56" s="30">
        <f t="shared" si="2"/>
        <v>3</v>
      </c>
      <c r="K56" s="30" t="s">
        <v>126</v>
      </c>
      <c r="L56" s="30"/>
      <c r="M56" s="30" t="str">
        <f t="shared" si="3"/>
        <v/>
      </c>
      <c r="N56" s="30" t="s">
        <v>126</v>
      </c>
      <c r="O56" s="30" t="str">
        <f>_xlfn.IFNA(INDEX($B$42:$B$97,MATCH((D56-$B$13), $D$42:$D$97,1),1)&amp;"_Column","")</f>
        <v>Story9_Column</v>
      </c>
      <c r="P56" s="30">
        <f t="shared" si="4"/>
        <v>6</v>
      </c>
      <c r="Q56" s="30" t="s">
        <v>148</v>
      </c>
      <c r="R56" s="30">
        <f t="shared" si="5"/>
        <v>1</v>
      </c>
      <c r="S56" s="30"/>
      <c r="T56" s="30" t="str">
        <f t="shared" si="6"/>
        <v/>
      </c>
      <c r="U56" s="30" t="str">
        <f>_xlfn.IFNA(INDEX($B$42:$B$97,MATCH((D56-($B$13+$B$17)), $D$42:$D$97,1),1)&amp;"_Floor","")</f>
        <v/>
      </c>
      <c r="V56" s="30" t="str">
        <f t="shared" si="7"/>
        <v/>
      </c>
      <c r="W56" s="30" t="str">
        <f>_xlfn.IFNA(INDEX($B$42:$B$97,MATCH((D56-($B$13+$B$18)), $D$42:$D$97,1),1)&amp;"_Floor","")</f>
        <v/>
      </c>
      <c r="X56" s="30" t="str">
        <f t="shared" si="8"/>
        <v/>
      </c>
      <c r="Y56" s="30" t="str">
        <f>_xlfn.IFNA(INDEX($B$42:$B$97,MATCH((D56-($B$13+$B$18)), $D$42:$D$97,1),1)&amp;"_Floor","")</f>
        <v/>
      </c>
      <c r="Z56" s="30" t="str">
        <f t="shared" si="9"/>
        <v/>
      </c>
    </row>
    <row r="57" spans="1:26" x14ac:dyDescent="0.2">
      <c r="A57" s="50" t="s">
        <v>78</v>
      </c>
      <c r="B57" s="29" t="str">
        <f t="shared" si="0"/>
        <v>Story15</v>
      </c>
      <c r="C57" s="29">
        <v>16</v>
      </c>
      <c r="D57" s="34">
        <f t="shared" si="11"/>
        <v>120</v>
      </c>
      <c r="E57" s="30" t="s">
        <v>126</v>
      </c>
      <c r="F57" s="30" t="str">
        <f>IF(B57&lt;&gt;"", B57&amp;"_Wall", "")</f>
        <v>Story15_Wall</v>
      </c>
      <c r="G57" s="30">
        <f t="shared" si="1"/>
        <v>3</v>
      </c>
      <c r="H57" s="30" t="s">
        <v>126</v>
      </c>
      <c r="I57" s="30" t="str">
        <f>_xlfn.IFNA(INDEX($B$42:$B$97,MATCH((D57-$B$13), $D$42:$D$97,1),1)&amp;"_Floor","")</f>
        <v>Story10_Floor</v>
      </c>
      <c r="J57" s="30">
        <f t="shared" si="2"/>
        <v>3</v>
      </c>
      <c r="K57" s="30" t="s">
        <v>126</v>
      </c>
      <c r="L57" s="30"/>
      <c r="M57" s="30" t="str">
        <f t="shared" si="3"/>
        <v/>
      </c>
      <c r="N57" s="30" t="s">
        <v>126</v>
      </c>
      <c r="O57" s="30" t="str">
        <f>_xlfn.IFNA(INDEX($B$42:$B$97,MATCH((D57-$B$13), $D$42:$D$97,1),1)&amp;"_Column","")</f>
        <v>Story10_Column</v>
      </c>
      <c r="P57" s="30">
        <f t="shared" si="4"/>
        <v>6</v>
      </c>
      <c r="Q57" s="30" t="s">
        <v>148</v>
      </c>
      <c r="R57" s="30">
        <f t="shared" si="5"/>
        <v>1</v>
      </c>
      <c r="S57" s="30"/>
      <c r="T57" s="30" t="str">
        <f t="shared" si="6"/>
        <v/>
      </c>
      <c r="U57" s="30" t="str">
        <f>_xlfn.IFNA(INDEX($B$42:$B$97,MATCH((D57-($B$13+$B$17)), $D$42:$D$97,1),1)&amp;"_Floor","")</f>
        <v/>
      </c>
      <c r="V57" s="30" t="str">
        <f t="shared" si="7"/>
        <v/>
      </c>
      <c r="W57" s="30" t="str">
        <f>_xlfn.IFNA(INDEX($B$42:$B$97,MATCH((D57-($B$13+$B$18)), $D$42:$D$97,1),1)&amp;"_Floor","")</f>
        <v/>
      </c>
      <c r="X57" s="30" t="str">
        <f t="shared" si="8"/>
        <v/>
      </c>
      <c r="Y57" s="30" t="str">
        <f>_xlfn.IFNA(INDEX($B$42:$B$97,MATCH((D57-($B$13+$B$18)), $D$42:$D$97,1),1)&amp;"_Floor","")</f>
        <v/>
      </c>
      <c r="Z57" s="30" t="str">
        <f t="shared" si="9"/>
        <v/>
      </c>
    </row>
    <row r="58" spans="1:26" x14ac:dyDescent="0.2">
      <c r="A58" s="50" t="s">
        <v>77</v>
      </c>
      <c r="B58" s="29" t="str">
        <f t="shared" si="0"/>
        <v>Story16</v>
      </c>
      <c r="C58" s="29">
        <v>17</v>
      </c>
      <c r="D58" s="34">
        <f t="shared" si="11"/>
        <v>128</v>
      </c>
      <c r="E58" s="30" t="s">
        <v>126</v>
      </c>
      <c r="F58" s="30" t="str">
        <f>IF(B58&lt;&gt;"", B58&amp;"_Wall", "")</f>
        <v>Story16_Wall</v>
      </c>
      <c r="G58" s="30">
        <f t="shared" si="1"/>
        <v>3</v>
      </c>
      <c r="H58" s="30" t="s">
        <v>126</v>
      </c>
      <c r="I58" s="30" t="str">
        <f>_xlfn.IFNA(INDEX($B$42:$B$97,MATCH((D58-$B$13), $D$42:$D$97,1),1)&amp;"_Floor","")</f>
        <v>Story11_Floor</v>
      </c>
      <c r="J58" s="30">
        <f t="shared" si="2"/>
        <v>3</v>
      </c>
      <c r="K58" s="30" t="s">
        <v>126</v>
      </c>
      <c r="L58" s="30"/>
      <c r="M58" s="30" t="str">
        <f t="shared" si="3"/>
        <v/>
      </c>
      <c r="N58" s="30" t="s">
        <v>126</v>
      </c>
      <c r="O58" s="30" t="str">
        <f>_xlfn.IFNA(INDEX($B$42:$B$97,MATCH((D58-$B$13), $D$42:$D$97,1),1)&amp;"_Column","")</f>
        <v>Story11_Column</v>
      </c>
      <c r="P58" s="30">
        <f t="shared" si="4"/>
        <v>6</v>
      </c>
      <c r="Q58" s="30" t="s">
        <v>148</v>
      </c>
      <c r="R58" s="30">
        <f t="shared" si="5"/>
        <v>1</v>
      </c>
      <c r="S58" s="30"/>
      <c r="T58" s="30" t="str">
        <f t="shared" si="6"/>
        <v/>
      </c>
      <c r="U58" s="30" t="str">
        <f>_xlfn.IFNA(INDEX($B$42:$B$97,MATCH((D58-($B$13+$B$17)), $D$42:$D$97,1),1)&amp;"_Floor","")</f>
        <v/>
      </c>
      <c r="V58" s="30" t="str">
        <f t="shared" si="7"/>
        <v/>
      </c>
      <c r="W58" s="30" t="str">
        <f>_xlfn.IFNA(INDEX($B$42:$B$97,MATCH((D58-($B$13+$B$18)), $D$42:$D$97,1),1)&amp;"_Floor","")</f>
        <v/>
      </c>
      <c r="X58" s="30" t="str">
        <f t="shared" si="8"/>
        <v/>
      </c>
      <c r="Y58" s="30" t="str">
        <f>_xlfn.IFNA(INDEX($B$42:$B$97,MATCH((D58-($B$13+$B$18)), $D$42:$D$97,1),1)&amp;"_Floor","")</f>
        <v/>
      </c>
      <c r="Z58" s="30" t="str">
        <f t="shared" si="9"/>
        <v/>
      </c>
    </row>
    <row r="59" spans="1:26" x14ac:dyDescent="0.2">
      <c r="A59" s="50" t="s">
        <v>76</v>
      </c>
      <c r="B59" s="29" t="str">
        <f t="shared" si="0"/>
        <v>Story17</v>
      </c>
      <c r="C59" s="29">
        <v>18</v>
      </c>
      <c r="D59" s="34">
        <f t="shared" si="11"/>
        <v>136</v>
      </c>
      <c r="E59" s="30" t="s">
        <v>126</v>
      </c>
      <c r="F59" s="30" t="str">
        <f>IF(B59&lt;&gt;"", B59&amp;"_Wall", "")</f>
        <v>Story17_Wall</v>
      </c>
      <c r="G59" s="30">
        <f t="shared" si="1"/>
        <v>3</v>
      </c>
      <c r="H59" s="30" t="s">
        <v>126</v>
      </c>
      <c r="I59" s="30" t="str">
        <f>_xlfn.IFNA(INDEX($B$42:$B$97,MATCH((D59-$B$13), $D$42:$D$97,1),1)&amp;"_Floor","")</f>
        <v>Story12_Floor</v>
      </c>
      <c r="J59" s="30">
        <f t="shared" si="2"/>
        <v>3</v>
      </c>
      <c r="K59" s="30" t="s">
        <v>126</v>
      </c>
      <c r="L59" s="30"/>
      <c r="M59" s="30" t="str">
        <f t="shared" si="3"/>
        <v/>
      </c>
      <c r="N59" s="30" t="s">
        <v>126</v>
      </c>
      <c r="O59" s="30" t="str">
        <f>_xlfn.IFNA(INDEX($B$42:$B$97,MATCH((D59-$B$13), $D$42:$D$97,1),1)&amp;"_Column","")</f>
        <v>Story12_Column</v>
      </c>
      <c r="P59" s="30">
        <f t="shared" si="4"/>
        <v>6</v>
      </c>
      <c r="Q59" s="30" t="s">
        <v>148</v>
      </c>
      <c r="R59" s="30">
        <f t="shared" si="5"/>
        <v>1</v>
      </c>
      <c r="S59" s="30"/>
      <c r="T59" s="30" t="str">
        <f t="shared" si="6"/>
        <v/>
      </c>
      <c r="U59" s="30" t="str">
        <f>_xlfn.IFNA(INDEX($B$42:$B$97,MATCH((D59-($B$13+$B$17)), $D$42:$D$97,1),1)&amp;"_Floor","")</f>
        <v>GROUND_Floor</v>
      </c>
      <c r="V59" s="30">
        <f t="shared" si="7"/>
        <v>1</v>
      </c>
      <c r="W59" s="30" t="str">
        <f>_xlfn.IFNA(INDEX($B$42:$B$97,MATCH((D59-($B$13+$B$18)), $D$42:$D$97,1),1)&amp;"_Floor","")</f>
        <v/>
      </c>
      <c r="X59" s="30" t="str">
        <f t="shared" si="8"/>
        <v/>
      </c>
      <c r="Y59" s="30" t="str">
        <f>_xlfn.IFNA(INDEX($B$42:$B$97,MATCH((D59-($B$13+$B$18)), $D$42:$D$97,1),1)&amp;"_Floor","")</f>
        <v/>
      </c>
      <c r="Z59" s="30" t="str">
        <f t="shared" si="9"/>
        <v/>
      </c>
    </row>
    <row r="60" spans="1:26" x14ac:dyDescent="0.2">
      <c r="A60" s="50" t="s">
        <v>75</v>
      </c>
      <c r="B60" s="29" t="str">
        <f t="shared" si="0"/>
        <v>Story18</v>
      </c>
      <c r="C60" s="29">
        <v>19</v>
      </c>
      <c r="D60" s="34">
        <f t="shared" si="11"/>
        <v>144</v>
      </c>
      <c r="E60" s="30" t="s">
        <v>126</v>
      </c>
      <c r="F60" s="30" t="str">
        <f>IF(B60&lt;&gt;"", B60&amp;"_Wall", "")</f>
        <v>Story18_Wall</v>
      </c>
      <c r="G60" s="30">
        <f t="shared" si="1"/>
        <v>3</v>
      </c>
      <c r="H60" s="30" t="s">
        <v>126</v>
      </c>
      <c r="I60" s="30" t="str">
        <f>_xlfn.IFNA(INDEX($B$42:$B$97,MATCH((D60-$B$13), $D$42:$D$97,1),1)&amp;"_Floor","")</f>
        <v>Story13_Floor</v>
      </c>
      <c r="J60" s="30">
        <f t="shared" si="2"/>
        <v>3</v>
      </c>
      <c r="K60" s="30" t="s">
        <v>126</v>
      </c>
      <c r="L60" s="30"/>
      <c r="M60" s="30" t="str">
        <f t="shared" si="3"/>
        <v/>
      </c>
      <c r="N60" s="30" t="s">
        <v>126</v>
      </c>
      <c r="O60" s="30" t="str">
        <f>_xlfn.IFNA(INDEX($B$42:$B$97,MATCH((D60-$B$13), $D$42:$D$97,1),1)&amp;"_Column","")</f>
        <v>Story13_Column</v>
      </c>
      <c r="P60" s="30">
        <f t="shared" si="4"/>
        <v>6</v>
      </c>
      <c r="Q60" s="30" t="s">
        <v>148</v>
      </c>
      <c r="R60" s="30">
        <f t="shared" si="5"/>
        <v>1</v>
      </c>
      <c r="S60" s="30"/>
      <c r="T60" s="30" t="str">
        <f t="shared" si="6"/>
        <v/>
      </c>
      <c r="U60" s="30" t="str">
        <f>_xlfn.IFNA(INDEX($B$42:$B$97,MATCH((D60-($B$13+$B$17)), $D$42:$D$97,1),1)&amp;"_Floor","")</f>
        <v>Story1_Floor</v>
      </c>
      <c r="V60" s="30">
        <f t="shared" si="7"/>
        <v>1</v>
      </c>
      <c r="W60" s="30" t="str">
        <f>_xlfn.IFNA(INDEX($B$42:$B$97,MATCH((D60-($B$13+$B$18)), $D$42:$D$97,1),1)&amp;"_Floor","")</f>
        <v/>
      </c>
      <c r="X60" s="30" t="str">
        <f t="shared" si="8"/>
        <v/>
      </c>
      <c r="Y60" s="30" t="str">
        <f>_xlfn.IFNA(INDEX($B$42:$B$97,MATCH((D60-($B$13+$B$18)), $D$42:$D$97,1),1)&amp;"_Floor","")</f>
        <v/>
      </c>
      <c r="Z60" s="30" t="str">
        <f t="shared" si="9"/>
        <v/>
      </c>
    </row>
    <row r="61" spans="1:26" x14ac:dyDescent="0.2">
      <c r="A61" s="50" t="s">
        <v>74</v>
      </c>
      <c r="B61" s="29" t="str">
        <f t="shared" si="0"/>
        <v>Story19</v>
      </c>
      <c r="C61" s="29">
        <v>20</v>
      </c>
      <c r="D61" s="34">
        <f t="shared" si="11"/>
        <v>152</v>
      </c>
      <c r="E61" s="30" t="s">
        <v>126</v>
      </c>
      <c r="F61" s="30" t="str">
        <f>IF(B61&lt;&gt;"", B61&amp;"_Wall", "")</f>
        <v>Story19_Wall</v>
      </c>
      <c r="G61" s="30">
        <f t="shared" si="1"/>
        <v>3</v>
      </c>
      <c r="H61" s="30" t="s">
        <v>126</v>
      </c>
      <c r="I61" s="30" t="str">
        <f>_xlfn.IFNA(INDEX($B$42:$B$97,MATCH((D61-$B$13), $D$42:$D$97,1),1)&amp;"_Floor","")</f>
        <v>Story14_Floor</v>
      </c>
      <c r="J61" s="30">
        <f t="shared" si="2"/>
        <v>3</v>
      </c>
      <c r="K61" s="30" t="s">
        <v>126</v>
      </c>
      <c r="L61" s="30"/>
      <c r="M61" s="30" t="str">
        <f t="shared" si="3"/>
        <v/>
      </c>
      <c r="N61" s="30" t="s">
        <v>126</v>
      </c>
      <c r="O61" s="30" t="str">
        <f>_xlfn.IFNA(INDEX($B$42:$B$97,MATCH((D61-$B$13), $D$42:$D$97,1),1)&amp;"_Column","")</f>
        <v>Story14_Column</v>
      </c>
      <c r="P61" s="30">
        <f t="shared" si="4"/>
        <v>6</v>
      </c>
      <c r="Q61" s="30" t="s">
        <v>148</v>
      </c>
      <c r="R61" s="30">
        <f t="shared" si="5"/>
        <v>1</v>
      </c>
      <c r="S61" s="30"/>
      <c r="T61" s="30" t="str">
        <f t="shared" si="6"/>
        <v/>
      </c>
      <c r="U61" s="30" t="str">
        <f>_xlfn.IFNA(INDEX($B$42:$B$97,MATCH((D61-($B$13+$B$17)), $D$42:$D$97,1),1)&amp;"_Floor","")</f>
        <v>Story2_Floor</v>
      </c>
      <c r="V61" s="30">
        <f t="shared" si="7"/>
        <v>1</v>
      </c>
      <c r="W61" s="30" t="str">
        <f>_xlfn.IFNA(INDEX($B$42:$B$97,MATCH((D61-($B$13+$B$18)), $D$42:$D$97,1),1)&amp;"_Floor","")</f>
        <v/>
      </c>
      <c r="X61" s="30" t="str">
        <f t="shared" si="8"/>
        <v/>
      </c>
      <c r="Y61" s="30" t="str">
        <f>_xlfn.IFNA(INDEX($B$42:$B$97,MATCH((D61-($B$13+$B$18)), $D$42:$D$97,1),1)&amp;"_Floor","")</f>
        <v/>
      </c>
      <c r="Z61" s="30" t="str">
        <f t="shared" si="9"/>
        <v/>
      </c>
    </row>
    <row r="62" spans="1:26" x14ac:dyDescent="0.2">
      <c r="A62" s="50" t="s">
        <v>73</v>
      </c>
      <c r="B62" s="29" t="str">
        <f t="shared" si="0"/>
        <v>Story20</v>
      </c>
      <c r="C62" s="29">
        <v>21</v>
      </c>
      <c r="D62" s="34">
        <f t="shared" si="11"/>
        <v>160</v>
      </c>
      <c r="E62" s="30" t="s">
        <v>126</v>
      </c>
      <c r="F62" s="30" t="str">
        <f>IF(B62&lt;&gt;"", B62&amp;"_Wall", "")</f>
        <v>Story20_Wall</v>
      </c>
      <c r="G62" s="30">
        <f t="shared" si="1"/>
        <v>3</v>
      </c>
      <c r="H62" s="30" t="s">
        <v>126</v>
      </c>
      <c r="I62" s="30" t="str">
        <f>_xlfn.IFNA(INDEX($B$42:$B$97,MATCH((D62-$B$13), $D$42:$D$97,1),1)&amp;"_Floor","")</f>
        <v>Story15_Floor</v>
      </c>
      <c r="J62" s="30">
        <f t="shared" si="2"/>
        <v>3</v>
      </c>
      <c r="K62" s="30" t="s">
        <v>126</v>
      </c>
      <c r="L62" s="30"/>
      <c r="M62" s="30" t="str">
        <f t="shared" si="3"/>
        <v/>
      </c>
      <c r="N62" s="30" t="s">
        <v>126</v>
      </c>
      <c r="O62" s="30" t="str">
        <f>_xlfn.IFNA(INDEX($B$42:$B$97,MATCH((D62-$B$13), $D$42:$D$97,1),1)&amp;"_Column","")</f>
        <v>Story15_Column</v>
      </c>
      <c r="P62" s="30">
        <f t="shared" si="4"/>
        <v>6</v>
      </c>
      <c r="Q62" s="30" t="s">
        <v>148</v>
      </c>
      <c r="R62" s="30">
        <f t="shared" si="5"/>
        <v>1</v>
      </c>
      <c r="S62" s="30"/>
      <c r="T62" s="30" t="str">
        <f t="shared" si="6"/>
        <v/>
      </c>
      <c r="U62" s="30" t="str">
        <f>_xlfn.IFNA(INDEX($B$42:$B$97,MATCH((D62-($B$13+$B$17)), $D$42:$D$97,1),1)&amp;"_Floor","")</f>
        <v>Story3_Floor</v>
      </c>
      <c r="V62" s="30">
        <f t="shared" si="7"/>
        <v>1</v>
      </c>
      <c r="W62" s="30" t="str">
        <f>_xlfn.IFNA(INDEX($B$42:$B$97,MATCH((D62-($B$13+$B$18)), $D$42:$D$97,1),1)&amp;"_Floor","")</f>
        <v/>
      </c>
      <c r="X62" s="30" t="str">
        <f t="shared" si="8"/>
        <v/>
      </c>
      <c r="Y62" s="30" t="str">
        <f>_xlfn.IFNA(INDEX($B$42:$B$97,MATCH((D62-($B$13+$B$18)), $D$42:$D$97,1),1)&amp;"_Floor","")</f>
        <v/>
      </c>
      <c r="Z62" s="30" t="str">
        <f t="shared" si="9"/>
        <v/>
      </c>
    </row>
    <row r="63" spans="1:26" x14ac:dyDescent="0.2">
      <c r="A63" s="50" t="s">
        <v>72</v>
      </c>
      <c r="B63" s="29" t="str">
        <f t="shared" si="0"/>
        <v>Story21</v>
      </c>
      <c r="C63" s="29">
        <v>22</v>
      </c>
      <c r="D63" s="34">
        <f t="shared" si="11"/>
        <v>168</v>
      </c>
      <c r="E63" s="30" t="s">
        <v>126</v>
      </c>
      <c r="F63" s="30" t="str">
        <f>IF(B63&lt;&gt;"", B63&amp;"_Wall", "")</f>
        <v>Story21_Wall</v>
      </c>
      <c r="G63" s="30">
        <f t="shared" si="1"/>
        <v>3</v>
      </c>
      <c r="H63" s="30" t="s">
        <v>126</v>
      </c>
      <c r="I63" s="30" t="str">
        <f>_xlfn.IFNA(INDEX($B$42:$B$97,MATCH((D63-$B$13), $D$42:$D$97,1),1)&amp;"_Floor","")</f>
        <v>Story16_Floor</v>
      </c>
      <c r="J63" s="30">
        <f t="shared" si="2"/>
        <v>3</v>
      </c>
      <c r="K63" s="30" t="s">
        <v>126</v>
      </c>
      <c r="L63" s="30"/>
      <c r="M63" s="30" t="str">
        <f t="shared" si="3"/>
        <v/>
      </c>
      <c r="N63" s="30" t="s">
        <v>126</v>
      </c>
      <c r="O63" s="30" t="str">
        <f>_xlfn.IFNA(INDEX($B$42:$B$97,MATCH((D63-$B$13), $D$42:$D$97,1),1)&amp;"_Column","")</f>
        <v>Story16_Column</v>
      </c>
      <c r="P63" s="30">
        <f t="shared" si="4"/>
        <v>6</v>
      </c>
      <c r="Q63" s="30" t="s">
        <v>148</v>
      </c>
      <c r="R63" s="30">
        <f t="shared" si="5"/>
        <v>1</v>
      </c>
      <c r="S63" s="30"/>
      <c r="T63" s="30" t="str">
        <f t="shared" si="6"/>
        <v/>
      </c>
      <c r="U63" s="30" t="str">
        <f>_xlfn.IFNA(INDEX($B$42:$B$97,MATCH((D63-($B$13+$B$17)), $D$42:$D$97,1),1)&amp;"_Floor","")</f>
        <v>Story4_Floor</v>
      </c>
      <c r="V63" s="30">
        <f t="shared" si="7"/>
        <v>1</v>
      </c>
      <c r="W63" s="30" t="str">
        <f>_xlfn.IFNA(INDEX($B$42:$B$97,MATCH((D63-($B$13+$B$18)), $D$42:$D$97,1),1)&amp;"_Floor","")</f>
        <v/>
      </c>
      <c r="X63" s="30" t="str">
        <f t="shared" si="8"/>
        <v/>
      </c>
      <c r="Y63" s="30" t="str">
        <f>_xlfn.IFNA(INDEX($B$42:$B$97,MATCH((D63-($B$13+$B$18)), $D$42:$D$97,1),1)&amp;"_Floor","")</f>
        <v/>
      </c>
      <c r="Z63" s="30" t="str">
        <f t="shared" si="9"/>
        <v/>
      </c>
    </row>
    <row r="64" spans="1:26" x14ac:dyDescent="0.2">
      <c r="A64" s="50" t="s">
        <v>71</v>
      </c>
      <c r="B64" s="29" t="str">
        <f t="shared" si="0"/>
        <v>Story22</v>
      </c>
      <c r="C64" s="29">
        <v>23</v>
      </c>
      <c r="D64" s="34">
        <f t="shared" si="11"/>
        <v>176</v>
      </c>
      <c r="E64" s="30" t="s">
        <v>126</v>
      </c>
      <c r="F64" s="30" t="str">
        <f>IF(B64&lt;&gt;"", B64&amp;"_Wall", "")</f>
        <v>Story22_Wall</v>
      </c>
      <c r="G64" s="30">
        <f t="shared" si="1"/>
        <v>3</v>
      </c>
      <c r="H64" s="30" t="s">
        <v>126</v>
      </c>
      <c r="I64" s="30" t="str">
        <f>_xlfn.IFNA(INDEX($B$42:$B$97,MATCH((D64-$B$13), $D$42:$D$97,1),1)&amp;"_Floor","")</f>
        <v>Story17_Floor</v>
      </c>
      <c r="J64" s="30">
        <f t="shared" si="2"/>
        <v>3</v>
      </c>
      <c r="K64" s="30" t="s">
        <v>126</v>
      </c>
      <c r="L64" s="30"/>
      <c r="M64" s="30" t="str">
        <f t="shared" si="3"/>
        <v/>
      </c>
      <c r="N64" s="30" t="s">
        <v>126</v>
      </c>
      <c r="O64" s="30" t="str">
        <f>_xlfn.IFNA(INDEX($B$42:$B$97,MATCH((D64-$B$13), $D$42:$D$97,1),1)&amp;"_Column","")</f>
        <v>Story17_Column</v>
      </c>
      <c r="P64" s="30">
        <f t="shared" si="4"/>
        <v>6</v>
      </c>
      <c r="Q64" s="30" t="s">
        <v>148</v>
      </c>
      <c r="R64" s="30">
        <f t="shared" si="5"/>
        <v>1</v>
      </c>
      <c r="S64" s="30"/>
      <c r="T64" s="30" t="str">
        <f t="shared" si="6"/>
        <v/>
      </c>
      <c r="U64" s="30" t="str">
        <f>_xlfn.IFNA(INDEX($B$42:$B$97,MATCH((D64-($B$13+$B$17)), $D$42:$D$97,1),1)&amp;"_Floor","")</f>
        <v>Story5_Floor</v>
      </c>
      <c r="V64" s="30">
        <f t="shared" si="7"/>
        <v>1</v>
      </c>
      <c r="W64" s="30" t="str">
        <f>_xlfn.IFNA(INDEX($B$42:$B$97,MATCH((D64-($B$13+$B$18)), $D$42:$D$97,1),1)&amp;"_Floor","")</f>
        <v/>
      </c>
      <c r="X64" s="30" t="str">
        <f t="shared" si="8"/>
        <v/>
      </c>
      <c r="Y64" s="30" t="str">
        <f>_xlfn.IFNA(INDEX($B$42:$B$97,MATCH((D64-($B$13+$B$18)), $D$42:$D$97,1),1)&amp;"_Floor","")</f>
        <v/>
      </c>
      <c r="Z64" s="30" t="str">
        <f t="shared" si="9"/>
        <v/>
      </c>
    </row>
    <row r="65" spans="1:26" x14ac:dyDescent="0.2">
      <c r="A65" s="50" t="s">
        <v>70</v>
      </c>
      <c r="B65" s="29" t="str">
        <f t="shared" si="0"/>
        <v>Story23</v>
      </c>
      <c r="C65" s="29">
        <v>24</v>
      </c>
      <c r="D65" s="34">
        <f t="shared" si="11"/>
        <v>184</v>
      </c>
      <c r="E65" s="30" t="s">
        <v>126</v>
      </c>
      <c r="F65" s="30" t="str">
        <f>IF(B65&lt;&gt;"", B65&amp;"_Wall", "")</f>
        <v>Story23_Wall</v>
      </c>
      <c r="G65" s="30">
        <f t="shared" si="1"/>
        <v>3</v>
      </c>
      <c r="H65" s="30" t="s">
        <v>126</v>
      </c>
      <c r="I65" s="30" t="str">
        <f>_xlfn.IFNA(INDEX($B$42:$B$97,MATCH((D65-$B$13), $D$42:$D$97,1),1)&amp;"_Floor","")</f>
        <v>Story18_Floor</v>
      </c>
      <c r="J65" s="30">
        <f t="shared" si="2"/>
        <v>3</v>
      </c>
      <c r="K65" s="30" t="s">
        <v>126</v>
      </c>
      <c r="L65" s="30"/>
      <c r="M65" s="30" t="str">
        <f t="shared" si="3"/>
        <v/>
      </c>
      <c r="N65" s="30" t="s">
        <v>126</v>
      </c>
      <c r="O65" s="30" t="str">
        <f>_xlfn.IFNA(INDEX($B$42:$B$97,MATCH((D65-$B$13), $D$42:$D$97,1),1)&amp;"_Column","")</f>
        <v>Story18_Column</v>
      </c>
      <c r="P65" s="30">
        <f t="shared" si="4"/>
        <v>6</v>
      </c>
      <c r="Q65" s="30" t="s">
        <v>148</v>
      </c>
      <c r="R65" s="30">
        <f t="shared" si="5"/>
        <v>1</v>
      </c>
      <c r="S65" s="30"/>
      <c r="T65" s="30" t="str">
        <f t="shared" si="6"/>
        <v/>
      </c>
      <c r="U65" s="30" t="str">
        <f>_xlfn.IFNA(INDEX($B$42:$B$97,MATCH((D65-($B$13+$B$17)), $D$42:$D$97,1),1)&amp;"_Floor","")</f>
        <v>Story6_Floor</v>
      </c>
      <c r="V65" s="30">
        <f t="shared" si="7"/>
        <v>1</v>
      </c>
      <c r="W65" s="30" t="str">
        <f>_xlfn.IFNA(INDEX($B$42:$B$97,MATCH((D65-($B$13+$B$18)), $D$42:$D$97,1),1)&amp;"_Floor","")</f>
        <v/>
      </c>
      <c r="X65" s="30" t="str">
        <f t="shared" si="8"/>
        <v/>
      </c>
      <c r="Y65" s="30" t="str">
        <f>_xlfn.IFNA(INDEX($B$42:$B$97,MATCH((D65-($B$13+$B$18)), $D$42:$D$97,1),1)&amp;"_Floor","")</f>
        <v/>
      </c>
      <c r="Z65" s="30" t="str">
        <f t="shared" si="9"/>
        <v/>
      </c>
    </row>
    <row r="66" spans="1:26" x14ac:dyDescent="0.2">
      <c r="A66" s="50" t="s">
        <v>69</v>
      </c>
      <c r="B66" s="29" t="str">
        <f t="shared" si="0"/>
        <v>Story24</v>
      </c>
      <c r="C66" s="29">
        <v>25</v>
      </c>
      <c r="D66" s="34">
        <f t="shared" si="11"/>
        <v>192</v>
      </c>
      <c r="E66" s="30" t="s">
        <v>126</v>
      </c>
      <c r="F66" s="30" t="str">
        <f>IF(B66&lt;&gt;"", B66&amp;"_Wall", "")</f>
        <v>Story24_Wall</v>
      </c>
      <c r="G66" s="30">
        <f t="shared" si="1"/>
        <v>3</v>
      </c>
      <c r="H66" s="30" t="s">
        <v>126</v>
      </c>
      <c r="I66" s="30" t="str">
        <f>_xlfn.IFNA(INDEX($B$42:$B$97,MATCH((D66-$B$13), $D$42:$D$97,1),1)&amp;"_Floor","")</f>
        <v>Story19_Floor</v>
      </c>
      <c r="J66" s="30">
        <f t="shared" si="2"/>
        <v>3</v>
      </c>
      <c r="K66" s="30" t="s">
        <v>126</v>
      </c>
      <c r="L66" s="30"/>
      <c r="M66" s="30" t="str">
        <f t="shared" si="3"/>
        <v/>
      </c>
      <c r="N66" s="30" t="s">
        <v>126</v>
      </c>
      <c r="O66" s="30" t="str">
        <f>_xlfn.IFNA(INDEX($B$42:$B$97,MATCH((D66-$B$13), $D$42:$D$97,1),1)&amp;"_Column","")</f>
        <v>Story19_Column</v>
      </c>
      <c r="P66" s="30">
        <f t="shared" si="4"/>
        <v>6</v>
      </c>
      <c r="Q66" s="30" t="s">
        <v>148</v>
      </c>
      <c r="R66" s="30">
        <f t="shared" si="5"/>
        <v>1</v>
      </c>
      <c r="S66" s="30"/>
      <c r="T66" s="30" t="str">
        <f t="shared" si="6"/>
        <v/>
      </c>
      <c r="U66" s="30" t="str">
        <f>_xlfn.IFNA(INDEX($B$42:$B$97,MATCH((D66-($B$13+$B$17)), $D$42:$D$97,1),1)&amp;"_Floor","")</f>
        <v>Story7_Floor</v>
      </c>
      <c r="V66" s="30">
        <f t="shared" si="7"/>
        <v>1</v>
      </c>
      <c r="W66" s="30" t="str">
        <f>_xlfn.IFNA(INDEX($B$42:$B$97,MATCH((D66-($B$13+$B$18)), $D$42:$D$97,1),1)&amp;"_Floor","")</f>
        <v/>
      </c>
      <c r="X66" s="30" t="str">
        <f t="shared" si="8"/>
        <v/>
      </c>
      <c r="Y66" s="30" t="str">
        <f>_xlfn.IFNA(INDEX($B$42:$B$97,MATCH((D66-($B$13+$B$18)), $D$42:$D$97,1),1)&amp;"_Floor","")</f>
        <v/>
      </c>
      <c r="Z66" s="30" t="str">
        <f t="shared" si="9"/>
        <v/>
      </c>
    </row>
    <row r="67" spans="1:26" x14ac:dyDescent="0.2">
      <c r="A67" s="50" t="s">
        <v>68</v>
      </c>
      <c r="B67" s="29" t="str">
        <f t="shared" si="0"/>
        <v>Story25</v>
      </c>
      <c r="C67" s="29">
        <v>26</v>
      </c>
      <c r="D67" s="34">
        <f t="shared" si="11"/>
        <v>200</v>
      </c>
      <c r="E67" s="30" t="s">
        <v>126</v>
      </c>
      <c r="F67" s="30" t="str">
        <f>IF(B67&lt;&gt;"", B67&amp;"_Wall", "")</f>
        <v>Story25_Wall</v>
      </c>
      <c r="G67" s="30">
        <f t="shared" si="1"/>
        <v>3</v>
      </c>
      <c r="H67" s="30" t="s">
        <v>126</v>
      </c>
      <c r="I67" s="30" t="str">
        <f>_xlfn.IFNA(INDEX($B$42:$B$97,MATCH((D67-$B$13), $D$42:$D$97,1),1)&amp;"_Floor","")</f>
        <v>Story20_Floor</v>
      </c>
      <c r="J67" s="30">
        <f t="shared" si="2"/>
        <v>3</v>
      </c>
      <c r="K67" s="30" t="s">
        <v>126</v>
      </c>
      <c r="L67" s="30"/>
      <c r="M67" s="30" t="str">
        <f t="shared" si="3"/>
        <v/>
      </c>
      <c r="N67" s="30" t="s">
        <v>126</v>
      </c>
      <c r="O67" s="30" t="str">
        <f>_xlfn.IFNA(INDEX($B$42:$B$97,MATCH((D67-$B$13), $D$42:$D$97,1),1)&amp;"_Column","")</f>
        <v>Story20_Column</v>
      </c>
      <c r="P67" s="30">
        <f t="shared" si="4"/>
        <v>6</v>
      </c>
      <c r="Q67" s="30" t="s">
        <v>148</v>
      </c>
      <c r="R67" s="30">
        <f t="shared" si="5"/>
        <v>1</v>
      </c>
      <c r="S67" s="30"/>
      <c r="T67" s="30" t="str">
        <f t="shared" si="6"/>
        <v/>
      </c>
      <c r="U67" s="30" t="str">
        <f>_xlfn.IFNA(INDEX($B$42:$B$97,MATCH((D67-($B$13+$B$17)), $D$42:$D$97,1),1)&amp;"_Floor","")</f>
        <v>Story8_Floor</v>
      </c>
      <c r="V67" s="30">
        <f t="shared" si="7"/>
        <v>1</v>
      </c>
      <c r="W67" s="30" t="str">
        <f>_xlfn.IFNA(INDEX($B$42:$B$97,MATCH((D67-($B$13+$B$18)), $D$42:$D$97,1),1)&amp;"_Floor","")</f>
        <v/>
      </c>
      <c r="X67" s="30" t="str">
        <f t="shared" si="8"/>
        <v/>
      </c>
      <c r="Y67" s="30" t="str">
        <f>_xlfn.IFNA(INDEX($B$42:$B$97,MATCH((D67-($B$13+$B$18)), $D$42:$D$97,1),1)&amp;"_Floor","")</f>
        <v/>
      </c>
      <c r="Z67" s="30" t="str">
        <f t="shared" si="9"/>
        <v/>
      </c>
    </row>
    <row r="68" spans="1:26" x14ac:dyDescent="0.2">
      <c r="A68" s="50" t="s">
        <v>67</v>
      </c>
      <c r="B68" s="29" t="str">
        <f t="shared" si="0"/>
        <v>Story26</v>
      </c>
      <c r="C68" s="29">
        <v>27</v>
      </c>
      <c r="D68" s="34">
        <f t="shared" si="11"/>
        <v>208</v>
      </c>
      <c r="E68" s="30" t="s">
        <v>126</v>
      </c>
      <c r="F68" s="30" t="str">
        <f>IF(B68&lt;&gt;"", B68&amp;"_Wall", "")</f>
        <v>Story26_Wall</v>
      </c>
      <c r="G68" s="30">
        <f t="shared" si="1"/>
        <v>3</v>
      </c>
      <c r="H68" s="30" t="s">
        <v>126</v>
      </c>
      <c r="I68" s="30" t="str">
        <f>_xlfn.IFNA(INDEX($B$42:$B$97,MATCH((D68-$B$13), $D$42:$D$97,1),1)&amp;"_Floor","")</f>
        <v>Story21_Floor</v>
      </c>
      <c r="J68" s="30">
        <f t="shared" si="2"/>
        <v>3</v>
      </c>
      <c r="K68" s="30" t="s">
        <v>126</v>
      </c>
      <c r="L68" s="30"/>
      <c r="M68" s="30" t="str">
        <f t="shared" si="3"/>
        <v/>
      </c>
      <c r="N68" s="30" t="s">
        <v>126</v>
      </c>
      <c r="O68" s="30" t="str">
        <f>_xlfn.IFNA(INDEX($B$42:$B$97,MATCH((D68-$B$13), $D$42:$D$97,1),1)&amp;"_Column","")</f>
        <v>Story21_Column</v>
      </c>
      <c r="P68" s="30">
        <f t="shared" si="4"/>
        <v>6</v>
      </c>
      <c r="Q68" s="30" t="s">
        <v>148</v>
      </c>
      <c r="R68" s="30">
        <f t="shared" si="5"/>
        <v>1</v>
      </c>
      <c r="S68" s="30"/>
      <c r="T68" s="30" t="str">
        <f t="shared" si="6"/>
        <v/>
      </c>
      <c r="U68" s="30" t="str">
        <f>_xlfn.IFNA(INDEX($B$42:$B$97,MATCH((D68-($B$13+$B$17)), $D$42:$D$97,1),1)&amp;"_Floor","")</f>
        <v>Story9_Floor</v>
      </c>
      <c r="V68" s="30">
        <f t="shared" si="7"/>
        <v>1</v>
      </c>
      <c r="W68" s="30" t="str">
        <f>_xlfn.IFNA(INDEX($B$42:$B$97,MATCH((D68-($B$13+$B$18)), $D$42:$D$97,1),1)&amp;"_Floor","")</f>
        <v/>
      </c>
      <c r="X68" s="30" t="str">
        <f t="shared" si="8"/>
        <v/>
      </c>
      <c r="Y68" s="30" t="str">
        <f>_xlfn.IFNA(INDEX($B$42:$B$97,MATCH((D68-($B$13+$B$18)), $D$42:$D$97,1),1)&amp;"_Floor","")</f>
        <v/>
      </c>
      <c r="Z68" s="30" t="str">
        <f t="shared" si="9"/>
        <v/>
      </c>
    </row>
    <row r="69" spans="1:26" x14ac:dyDescent="0.2">
      <c r="A69" s="50" t="s">
        <v>66</v>
      </c>
      <c r="B69" s="29" t="str">
        <f t="shared" si="0"/>
        <v>Story27</v>
      </c>
      <c r="C69" s="29">
        <v>28</v>
      </c>
      <c r="D69" s="34">
        <f t="shared" si="11"/>
        <v>216</v>
      </c>
      <c r="E69" s="30" t="s">
        <v>126</v>
      </c>
      <c r="F69" s="30" t="str">
        <f>IF(B69&lt;&gt;"", B69&amp;"_Wall", "")</f>
        <v>Story27_Wall</v>
      </c>
      <c r="G69" s="30">
        <f t="shared" si="1"/>
        <v>3</v>
      </c>
      <c r="H69" s="30" t="s">
        <v>126</v>
      </c>
      <c r="I69" s="30" t="str">
        <f>_xlfn.IFNA(INDEX($B$42:$B$97,MATCH((D69-$B$13), $D$42:$D$97,1),1)&amp;"_Floor","")</f>
        <v>Story22_Floor</v>
      </c>
      <c r="J69" s="30">
        <f t="shared" si="2"/>
        <v>3</v>
      </c>
      <c r="K69" s="30" t="s">
        <v>126</v>
      </c>
      <c r="L69" s="30"/>
      <c r="M69" s="30" t="str">
        <f t="shared" si="3"/>
        <v/>
      </c>
      <c r="N69" s="30" t="s">
        <v>126</v>
      </c>
      <c r="O69" s="30" t="str">
        <f>_xlfn.IFNA(INDEX($B$42:$B$97,MATCH((D69-$B$13), $D$42:$D$97,1),1)&amp;"_Column","")</f>
        <v>Story22_Column</v>
      </c>
      <c r="P69" s="30">
        <f t="shared" si="4"/>
        <v>6</v>
      </c>
      <c r="Q69" s="30" t="s">
        <v>148</v>
      </c>
      <c r="R69" s="30">
        <f t="shared" si="5"/>
        <v>1</v>
      </c>
      <c r="S69" s="30"/>
      <c r="T69" s="30" t="str">
        <f t="shared" si="6"/>
        <v/>
      </c>
      <c r="U69" s="30" t="str">
        <f>_xlfn.IFNA(INDEX($B$42:$B$97,MATCH((D69-($B$13+$B$17)), $D$42:$D$97,1),1)&amp;"_Floor","")</f>
        <v>Story10_Floor</v>
      </c>
      <c r="V69" s="30">
        <f t="shared" si="7"/>
        <v>1</v>
      </c>
      <c r="W69" s="30" t="str">
        <f>_xlfn.IFNA(INDEX($B$42:$B$97,MATCH((D69-($B$13+$B$18)), $D$42:$D$97,1),1)&amp;"_Floor","")</f>
        <v/>
      </c>
      <c r="X69" s="30" t="str">
        <f t="shared" si="8"/>
        <v/>
      </c>
      <c r="Y69" s="30" t="str">
        <f>_xlfn.IFNA(INDEX($B$42:$B$97,MATCH((D69-($B$13+$B$18)), $D$42:$D$97,1),1)&amp;"_Floor","")</f>
        <v/>
      </c>
      <c r="Z69" s="30" t="str">
        <f t="shared" si="9"/>
        <v/>
      </c>
    </row>
    <row r="70" spans="1:26" x14ac:dyDescent="0.2">
      <c r="A70" s="50" t="s">
        <v>65</v>
      </c>
      <c r="B70" s="29" t="str">
        <f t="shared" si="0"/>
        <v>Story28</v>
      </c>
      <c r="C70" s="29">
        <v>29</v>
      </c>
      <c r="D70" s="34">
        <f t="shared" si="11"/>
        <v>224</v>
      </c>
      <c r="E70" s="30" t="s">
        <v>126</v>
      </c>
      <c r="F70" s="30" t="str">
        <f>IF(B70&lt;&gt;"", B70&amp;"_Wall", "")</f>
        <v>Story28_Wall</v>
      </c>
      <c r="G70" s="30">
        <f t="shared" si="1"/>
        <v>3</v>
      </c>
      <c r="H70" s="30" t="s">
        <v>126</v>
      </c>
      <c r="I70" s="30" t="str">
        <f>_xlfn.IFNA(INDEX($B$42:$B$97,MATCH((D70-$B$13), $D$42:$D$97,1),1)&amp;"_Floor","")</f>
        <v>Story23_Floor</v>
      </c>
      <c r="J70" s="30">
        <f t="shared" si="2"/>
        <v>3</v>
      </c>
      <c r="K70" s="30" t="s">
        <v>126</v>
      </c>
      <c r="L70" s="30"/>
      <c r="M70" s="30" t="str">
        <f t="shared" si="3"/>
        <v/>
      </c>
      <c r="N70" s="30" t="s">
        <v>126</v>
      </c>
      <c r="O70" s="30" t="str">
        <f>_xlfn.IFNA(INDEX($B$42:$B$97,MATCH((D70-$B$13), $D$42:$D$97,1),1)&amp;"_Column","")</f>
        <v>Story23_Column</v>
      </c>
      <c r="P70" s="30">
        <f t="shared" si="4"/>
        <v>6</v>
      </c>
      <c r="Q70" s="30" t="s">
        <v>148</v>
      </c>
      <c r="R70" s="30">
        <f t="shared" si="5"/>
        <v>1</v>
      </c>
      <c r="S70" s="30"/>
      <c r="T70" s="30" t="str">
        <f t="shared" si="6"/>
        <v/>
      </c>
      <c r="U70" s="30" t="str">
        <f>_xlfn.IFNA(INDEX($B$42:$B$97,MATCH((D70-($B$13+$B$17)), $D$42:$D$97,1),1)&amp;"_Floor","")</f>
        <v>Story11_Floor</v>
      </c>
      <c r="V70" s="30">
        <f t="shared" si="7"/>
        <v>1</v>
      </c>
      <c r="W70" s="30" t="str">
        <f>_xlfn.IFNA(INDEX($B$42:$B$97,MATCH((D70-($B$13+$B$18)), $D$42:$D$97,1),1)&amp;"_Floor","")</f>
        <v>GROUND_Floor</v>
      </c>
      <c r="X70" s="30">
        <f t="shared" si="8"/>
        <v>1</v>
      </c>
      <c r="Y70" s="30" t="str">
        <f>_xlfn.IFNA(INDEX($B$42:$B$97,MATCH((D70-($B$13+$B$18)), $D$42:$D$97,1),1)&amp;"_Floor","")</f>
        <v>GROUND_Floor</v>
      </c>
      <c r="Z70" s="30">
        <f t="shared" si="9"/>
        <v>1</v>
      </c>
    </row>
    <row r="71" spans="1:26" x14ac:dyDescent="0.2">
      <c r="A71" s="50" t="s">
        <v>64</v>
      </c>
      <c r="B71" s="29" t="str">
        <f t="shared" si="0"/>
        <v>Story29</v>
      </c>
      <c r="C71" s="29">
        <v>30</v>
      </c>
      <c r="D71" s="34">
        <f t="shared" si="11"/>
        <v>232</v>
      </c>
      <c r="E71" s="30" t="s">
        <v>126</v>
      </c>
      <c r="F71" s="30" t="str">
        <f>IF(B71&lt;&gt;"", B71&amp;"_Wall", "")</f>
        <v>Story29_Wall</v>
      </c>
      <c r="G71" s="30">
        <f t="shared" si="1"/>
        <v>3</v>
      </c>
      <c r="H71" s="30" t="s">
        <v>126</v>
      </c>
      <c r="I71" s="30" t="str">
        <f>_xlfn.IFNA(INDEX($B$42:$B$97,MATCH((D71-$B$13), $D$42:$D$97,1),1)&amp;"_Floor","")</f>
        <v>Story24_Floor</v>
      </c>
      <c r="J71" s="30">
        <f t="shared" si="2"/>
        <v>3</v>
      </c>
      <c r="K71" s="30" t="s">
        <v>126</v>
      </c>
      <c r="L71" s="30"/>
      <c r="M71" s="30" t="str">
        <f t="shared" si="3"/>
        <v/>
      </c>
      <c r="N71" s="30" t="s">
        <v>126</v>
      </c>
      <c r="O71" s="30" t="str">
        <f>_xlfn.IFNA(INDEX($B$42:$B$97,MATCH((D71-$B$13), $D$42:$D$97,1),1)&amp;"_Column","")</f>
        <v>Story24_Column</v>
      </c>
      <c r="P71" s="30">
        <f t="shared" si="4"/>
        <v>6</v>
      </c>
      <c r="Q71" s="30" t="s">
        <v>148</v>
      </c>
      <c r="R71" s="30">
        <f t="shared" si="5"/>
        <v>1</v>
      </c>
      <c r="S71" s="30"/>
      <c r="T71" s="30" t="str">
        <f t="shared" si="6"/>
        <v/>
      </c>
      <c r="U71" s="30" t="str">
        <f>_xlfn.IFNA(INDEX($B$42:$B$97,MATCH((D71-($B$13+$B$17)), $D$42:$D$97,1),1)&amp;"_Floor","")</f>
        <v>Story12_Floor</v>
      </c>
      <c r="V71" s="30">
        <f t="shared" si="7"/>
        <v>1</v>
      </c>
      <c r="W71" s="30" t="str">
        <f>_xlfn.IFNA(INDEX($B$42:$B$97,MATCH((D71-($B$13+$B$18)), $D$42:$D$97,1),1)&amp;"_Floor","")</f>
        <v>Story1_Floor</v>
      </c>
      <c r="X71" s="30">
        <f t="shared" si="8"/>
        <v>1</v>
      </c>
      <c r="Y71" s="30" t="str">
        <f>_xlfn.IFNA(INDEX($B$42:$B$97,MATCH((D71-($B$13+$B$18)), $D$42:$D$97,1),1)&amp;"_Floor","")</f>
        <v>Story1_Floor</v>
      </c>
      <c r="Z71" s="30">
        <f t="shared" si="9"/>
        <v>1</v>
      </c>
    </row>
    <row r="72" spans="1:26" x14ac:dyDescent="0.2">
      <c r="A72" s="50" t="s">
        <v>63</v>
      </c>
      <c r="B72" s="29" t="str">
        <f t="shared" si="0"/>
        <v>Story30</v>
      </c>
      <c r="C72" s="29">
        <v>31</v>
      </c>
      <c r="D72" s="34">
        <f t="shared" si="11"/>
        <v>240</v>
      </c>
      <c r="E72" s="30" t="s">
        <v>126</v>
      </c>
      <c r="F72" s="30" t="str">
        <f>IF(B72&lt;&gt;"", B72&amp;"_Wall", "")</f>
        <v>Story30_Wall</v>
      </c>
      <c r="G72" s="30">
        <f t="shared" si="1"/>
        <v>3</v>
      </c>
      <c r="H72" s="30" t="s">
        <v>126</v>
      </c>
      <c r="I72" s="30" t="str">
        <f>_xlfn.IFNA(INDEX($B$42:$B$97,MATCH((D72-$B$13), $D$42:$D$97,1),1)&amp;"_Floor","")</f>
        <v>Story25_Floor</v>
      </c>
      <c r="J72" s="30">
        <f t="shared" si="2"/>
        <v>3</v>
      </c>
      <c r="K72" s="30" t="s">
        <v>126</v>
      </c>
      <c r="L72" s="30"/>
      <c r="M72" s="30" t="str">
        <f t="shared" si="3"/>
        <v/>
      </c>
      <c r="N72" s="30" t="s">
        <v>126</v>
      </c>
      <c r="O72" s="30" t="str">
        <f>_xlfn.IFNA(INDEX($B$42:$B$97,MATCH((D72-$B$13), $D$42:$D$97,1),1)&amp;"_Column","")</f>
        <v>Story25_Column</v>
      </c>
      <c r="P72" s="30">
        <f t="shared" si="4"/>
        <v>6</v>
      </c>
      <c r="Q72" s="30" t="s">
        <v>148</v>
      </c>
      <c r="R72" s="30">
        <f t="shared" si="5"/>
        <v>1</v>
      </c>
      <c r="S72" s="30"/>
      <c r="T72" s="30" t="str">
        <f t="shared" si="6"/>
        <v/>
      </c>
      <c r="U72" s="30" t="str">
        <f>_xlfn.IFNA(INDEX($B$42:$B$97,MATCH((D72-($B$13+$B$17)), $D$42:$D$97,1),1)&amp;"_Floor","")</f>
        <v>Story13_Floor</v>
      </c>
      <c r="V72" s="30">
        <f t="shared" si="7"/>
        <v>1</v>
      </c>
      <c r="W72" s="30" t="str">
        <f>_xlfn.IFNA(INDEX($B$42:$B$97,MATCH((D72-($B$13+$B$18)), $D$42:$D$97,1),1)&amp;"_Floor","")</f>
        <v>Story2_Floor</v>
      </c>
      <c r="X72" s="30">
        <f t="shared" si="8"/>
        <v>1</v>
      </c>
      <c r="Y72" s="30" t="str">
        <f>_xlfn.IFNA(INDEX($B$42:$B$97,MATCH((D72-($B$13+$B$18)), $D$42:$D$97,1),1)&amp;"_Floor","")</f>
        <v>Story2_Floor</v>
      </c>
      <c r="Z72" s="30">
        <f t="shared" si="9"/>
        <v>1</v>
      </c>
    </row>
    <row r="73" spans="1:26" x14ac:dyDescent="0.2">
      <c r="A73" s="50" t="s">
        <v>62</v>
      </c>
      <c r="B73" s="29" t="str">
        <f t="shared" si="0"/>
        <v>Story31</v>
      </c>
      <c r="C73" s="29">
        <v>32</v>
      </c>
      <c r="D73" s="34">
        <f t="shared" si="11"/>
        <v>248</v>
      </c>
      <c r="E73" s="30" t="s">
        <v>126</v>
      </c>
      <c r="F73" s="30" t="str">
        <f>IF(B73&lt;&gt;"", B73&amp;"_Wall", "")</f>
        <v>Story31_Wall</v>
      </c>
      <c r="G73" s="30">
        <f t="shared" si="1"/>
        <v>3</v>
      </c>
      <c r="H73" s="30" t="s">
        <v>126</v>
      </c>
      <c r="I73" s="30" t="str">
        <f>_xlfn.IFNA(INDEX($B$42:$B$97,MATCH((D73-$B$13), $D$42:$D$97,1),1)&amp;"_Floor","")</f>
        <v>Story26_Floor</v>
      </c>
      <c r="J73" s="30">
        <f t="shared" si="2"/>
        <v>3</v>
      </c>
      <c r="K73" s="30" t="s">
        <v>126</v>
      </c>
      <c r="L73" s="30"/>
      <c r="M73" s="30" t="str">
        <f t="shared" si="3"/>
        <v/>
      </c>
      <c r="N73" s="30" t="s">
        <v>126</v>
      </c>
      <c r="O73" s="30" t="str">
        <f>_xlfn.IFNA(INDEX($B$42:$B$97,MATCH((D73-$B$13), $D$42:$D$97,1),1)&amp;"_Column","")</f>
        <v>Story26_Column</v>
      </c>
      <c r="P73" s="30">
        <f t="shared" si="4"/>
        <v>6</v>
      </c>
      <c r="Q73" s="30" t="s">
        <v>148</v>
      </c>
      <c r="R73" s="30">
        <f t="shared" si="5"/>
        <v>1</v>
      </c>
      <c r="S73" s="30"/>
      <c r="T73" s="30" t="str">
        <f t="shared" si="6"/>
        <v/>
      </c>
      <c r="U73" s="30" t="str">
        <f>_xlfn.IFNA(INDEX($B$42:$B$97,MATCH((D73-($B$13+$B$17)), $D$42:$D$97,1),1)&amp;"_Floor","")</f>
        <v>Story14_Floor</v>
      </c>
      <c r="V73" s="30">
        <f t="shared" si="7"/>
        <v>1</v>
      </c>
      <c r="W73" s="30" t="str">
        <f>_xlfn.IFNA(INDEX($B$42:$B$97,MATCH((D73-($B$13+$B$18)), $D$42:$D$97,1),1)&amp;"_Floor","")</f>
        <v>Story3_Floor</v>
      </c>
      <c r="X73" s="30">
        <f t="shared" si="8"/>
        <v>1</v>
      </c>
      <c r="Y73" s="30" t="str">
        <f>_xlfn.IFNA(INDEX($B$42:$B$97,MATCH((D73-($B$13+$B$18)), $D$42:$D$97,1),1)&amp;"_Floor","")</f>
        <v>Story3_Floor</v>
      </c>
      <c r="Z73" s="30">
        <f t="shared" si="9"/>
        <v>1</v>
      </c>
    </row>
    <row r="74" spans="1:26" x14ac:dyDescent="0.2">
      <c r="A74" s="50" t="s">
        <v>61</v>
      </c>
      <c r="B74" s="29" t="str">
        <f t="shared" si="0"/>
        <v>Story32</v>
      </c>
      <c r="C74" s="29">
        <v>33</v>
      </c>
      <c r="D74" s="34">
        <f t="shared" si="11"/>
        <v>256</v>
      </c>
      <c r="E74" s="30" t="s">
        <v>126</v>
      </c>
      <c r="F74" s="30" t="str">
        <f>IF(B74&lt;&gt;"", B74&amp;"_Wall", "")</f>
        <v>Story32_Wall</v>
      </c>
      <c r="G74" s="30">
        <f t="shared" si="1"/>
        <v>3</v>
      </c>
      <c r="H74" s="30" t="s">
        <v>126</v>
      </c>
      <c r="I74" s="30" t="str">
        <f>_xlfn.IFNA(INDEX($B$42:$B$97,MATCH((D74-$B$13), $D$42:$D$97,1),1)&amp;"_Floor","")</f>
        <v>Story27_Floor</v>
      </c>
      <c r="J74" s="30">
        <f t="shared" si="2"/>
        <v>3</v>
      </c>
      <c r="K74" s="30" t="s">
        <v>126</v>
      </c>
      <c r="L74" s="30"/>
      <c r="M74" s="30" t="str">
        <f t="shared" si="3"/>
        <v/>
      </c>
      <c r="N74" s="30" t="s">
        <v>126</v>
      </c>
      <c r="O74" s="30" t="str">
        <f>_xlfn.IFNA(INDEX($B$42:$B$97,MATCH((D74-$B$13), $D$42:$D$97,1),1)&amp;"_Column","")</f>
        <v>Story27_Column</v>
      </c>
      <c r="P74" s="30">
        <f t="shared" si="4"/>
        <v>6</v>
      </c>
      <c r="Q74" s="30" t="s">
        <v>148</v>
      </c>
      <c r="R74" s="30">
        <f t="shared" si="5"/>
        <v>1</v>
      </c>
      <c r="S74" s="30"/>
      <c r="T74" s="30" t="str">
        <f t="shared" si="6"/>
        <v/>
      </c>
      <c r="U74" s="30" t="str">
        <f>_xlfn.IFNA(INDEX($B$42:$B$97,MATCH((D74-($B$13+$B$17)), $D$42:$D$97,1),1)&amp;"_Floor","")</f>
        <v>Story15_Floor</v>
      </c>
      <c r="V74" s="30">
        <f t="shared" si="7"/>
        <v>1</v>
      </c>
      <c r="W74" s="30" t="str">
        <f>_xlfn.IFNA(INDEX($B$42:$B$97,MATCH((D74-($B$13+$B$18)), $D$42:$D$97,1),1)&amp;"_Floor","")</f>
        <v>Story4_Floor</v>
      </c>
      <c r="X74" s="30">
        <f t="shared" si="8"/>
        <v>1</v>
      </c>
      <c r="Y74" s="30" t="str">
        <f>_xlfn.IFNA(INDEX($B$42:$B$97,MATCH((D74-($B$13+$B$18)), $D$42:$D$97,1),1)&amp;"_Floor","")</f>
        <v>Story4_Floor</v>
      </c>
      <c r="Z74" s="30">
        <f t="shared" si="9"/>
        <v>1</v>
      </c>
    </row>
    <row r="75" spans="1:26" x14ac:dyDescent="0.2">
      <c r="A75" s="50" t="s">
        <v>60</v>
      </c>
      <c r="B75" s="29" t="str">
        <f t="shared" si="0"/>
        <v>Story33</v>
      </c>
      <c r="C75" s="29">
        <v>34</v>
      </c>
      <c r="D75" s="34">
        <f t="shared" si="11"/>
        <v>264</v>
      </c>
      <c r="E75" s="30" t="s">
        <v>126</v>
      </c>
      <c r="F75" s="30" t="str">
        <f>IF(B75&lt;&gt;"", B75&amp;"_Wall", "")</f>
        <v>Story33_Wall</v>
      </c>
      <c r="G75" s="30">
        <f t="shared" si="1"/>
        <v>3</v>
      </c>
      <c r="H75" s="30" t="s">
        <v>126</v>
      </c>
      <c r="I75" s="30" t="str">
        <f>_xlfn.IFNA(INDEX($B$42:$B$97,MATCH((D75-$B$13), $D$42:$D$97,1),1)&amp;"_Floor","")</f>
        <v>Story28_Floor</v>
      </c>
      <c r="J75" s="30">
        <f t="shared" si="2"/>
        <v>3</v>
      </c>
      <c r="K75" s="30" t="s">
        <v>126</v>
      </c>
      <c r="L75" s="30"/>
      <c r="M75" s="30" t="str">
        <f t="shared" si="3"/>
        <v/>
      </c>
      <c r="N75" s="30" t="s">
        <v>126</v>
      </c>
      <c r="O75" s="30" t="str">
        <f>_xlfn.IFNA(INDEX($B$42:$B$97,MATCH((D75-$B$13), $D$42:$D$97,1),1)&amp;"_Column","")</f>
        <v>Story28_Column</v>
      </c>
      <c r="P75" s="30">
        <f t="shared" si="4"/>
        <v>6</v>
      </c>
      <c r="Q75" s="30" t="s">
        <v>148</v>
      </c>
      <c r="R75" s="30">
        <f t="shared" si="5"/>
        <v>1</v>
      </c>
      <c r="S75" s="30"/>
      <c r="T75" s="30" t="str">
        <f t="shared" si="6"/>
        <v/>
      </c>
      <c r="U75" s="30" t="str">
        <f>_xlfn.IFNA(INDEX($B$42:$B$97,MATCH((D75-($B$13+$B$17)), $D$42:$D$97,1),1)&amp;"_Floor","")</f>
        <v>Story16_Floor</v>
      </c>
      <c r="V75" s="30">
        <f t="shared" si="7"/>
        <v>1</v>
      </c>
      <c r="W75" s="30" t="str">
        <f>_xlfn.IFNA(INDEX($B$42:$B$97,MATCH((D75-($B$13+$B$18)), $D$42:$D$97,1),1)&amp;"_Floor","")</f>
        <v>Story5_Floor</v>
      </c>
      <c r="X75" s="30">
        <f t="shared" si="8"/>
        <v>1</v>
      </c>
      <c r="Y75" s="30" t="str">
        <f>_xlfn.IFNA(INDEX($B$42:$B$97,MATCH((D75-($B$13+$B$18)), $D$42:$D$97,1),1)&amp;"_Floor","")</f>
        <v>Story5_Floor</v>
      </c>
      <c r="Z75" s="30">
        <f t="shared" si="9"/>
        <v>1</v>
      </c>
    </row>
    <row r="76" spans="1:26" x14ac:dyDescent="0.2">
      <c r="A76" s="50" t="s">
        <v>59</v>
      </c>
      <c r="B76" s="29" t="str">
        <f t="shared" si="0"/>
        <v>Story34 - Sky Terrace</v>
      </c>
      <c r="C76" s="29">
        <v>35</v>
      </c>
      <c r="D76" s="34">
        <f t="shared" si="11"/>
        <v>272</v>
      </c>
      <c r="E76" s="30" t="s">
        <v>126</v>
      </c>
      <c r="F76" s="30" t="str">
        <f>IF(B76&lt;&gt;"", B76&amp;"_Wall", "")</f>
        <v>Story34 - Sky Terrace_Wall</v>
      </c>
      <c r="G76" s="30">
        <f t="shared" si="1"/>
        <v>3</v>
      </c>
      <c r="H76" s="30" t="s">
        <v>126</v>
      </c>
      <c r="I76" s="30" t="str">
        <f>_xlfn.IFNA(INDEX($B$42:$B$97,MATCH((D76-$B$13), $D$42:$D$97,1),1)&amp;"_Floor","")</f>
        <v>Story29_Floor</v>
      </c>
      <c r="J76" s="30">
        <f t="shared" si="2"/>
        <v>3</v>
      </c>
      <c r="K76" s="30" t="s">
        <v>126</v>
      </c>
      <c r="L76" s="30"/>
      <c r="M76" s="30" t="str">
        <f t="shared" si="3"/>
        <v/>
      </c>
      <c r="N76" s="30" t="s">
        <v>126</v>
      </c>
      <c r="O76" s="30" t="str">
        <f>_xlfn.IFNA(INDEX($B$42:$B$97,MATCH((D76-$B$13), $D$42:$D$97,1),1)&amp;"_Column","")</f>
        <v>Story29_Column</v>
      </c>
      <c r="P76" s="30">
        <f t="shared" si="4"/>
        <v>6</v>
      </c>
      <c r="Q76" s="30" t="s">
        <v>148</v>
      </c>
      <c r="R76" s="30">
        <f t="shared" si="5"/>
        <v>1</v>
      </c>
      <c r="S76" s="30"/>
      <c r="T76" s="30" t="str">
        <f t="shared" si="6"/>
        <v/>
      </c>
      <c r="U76" s="30" t="str">
        <f>_xlfn.IFNA(INDEX($B$42:$B$97,MATCH((D76-($B$13+$B$17)), $D$42:$D$97,1),1)&amp;"_Floor","")</f>
        <v>Story17_Floor</v>
      </c>
      <c r="V76" s="30">
        <f t="shared" si="7"/>
        <v>1</v>
      </c>
      <c r="W76" s="30" t="str">
        <f>_xlfn.IFNA(INDEX($B$42:$B$97,MATCH((D76-($B$13+$B$18)), $D$42:$D$97,1),1)&amp;"_Floor","")</f>
        <v>Story6_Floor</v>
      </c>
      <c r="X76" s="30">
        <f t="shared" si="8"/>
        <v>1</v>
      </c>
      <c r="Y76" s="30" t="str">
        <f>_xlfn.IFNA(INDEX($B$42:$B$97,MATCH((D76-($B$13+$B$18)), $D$42:$D$97,1),1)&amp;"_Floor","")</f>
        <v>Story6_Floor</v>
      </c>
      <c r="Z76" s="30">
        <f t="shared" si="9"/>
        <v>1</v>
      </c>
    </row>
    <row r="77" spans="1:26" x14ac:dyDescent="0.2">
      <c r="A77" s="50" t="s">
        <v>58</v>
      </c>
      <c r="B77" s="29" t="str">
        <f t="shared" si="0"/>
        <v>Story35 - Roof</v>
      </c>
      <c r="C77" s="29">
        <v>36</v>
      </c>
      <c r="D77" s="34">
        <f t="shared" si="11"/>
        <v>280</v>
      </c>
      <c r="E77" s="30" t="s">
        <v>126</v>
      </c>
      <c r="F77" s="30" t="str">
        <f>IF(B77&lt;&gt;"", B77&amp;"_Wall", "")</f>
        <v>Story35 - Roof_Wall</v>
      </c>
      <c r="G77" s="30">
        <f t="shared" si="1"/>
        <v>3</v>
      </c>
      <c r="H77" s="30" t="s">
        <v>126</v>
      </c>
      <c r="I77" s="30" t="str">
        <f>_xlfn.IFNA(INDEX($B$42:$B$97,MATCH((D77-$B$13), $D$42:$D$97,1),1)&amp;"_Floor","")</f>
        <v>Story30_Floor</v>
      </c>
      <c r="J77" s="30">
        <f t="shared" si="2"/>
        <v>3</v>
      </c>
      <c r="K77" s="30" t="s">
        <v>126</v>
      </c>
      <c r="L77" s="30"/>
      <c r="M77" s="30" t="str">
        <f t="shared" si="3"/>
        <v/>
      </c>
      <c r="N77" s="30" t="s">
        <v>126</v>
      </c>
      <c r="O77" s="30" t="str">
        <f>_xlfn.IFNA(INDEX($B$42:$B$97,MATCH((D77-$B$13), $D$42:$D$97,1),1)&amp;"_Column","")</f>
        <v>Story30_Column</v>
      </c>
      <c r="P77" s="30">
        <f t="shared" si="4"/>
        <v>6</v>
      </c>
      <c r="Q77" s="30" t="s">
        <v>148</v>
      </c>
      <c r="R77" s="30">
        <f t="shared" si="5"/>
        <v>1</v>
      </c>
      <c r="S77" s="30"/>
      <c r="T77" s="30" t="str">
        <f t="shared" si="6"/>
        <v/>
      </c>
      <c r="U77" s="30" t="str">
        <f>_xlfn.IFNA(INDEX($B$42:$B$97,MATCH((D77-($B$13+$B$17)), $D$42:$D$97,1),1)&amp;"_Floor","")</f>
        <v>Story18_Floor</v>
      </c>
      <c r="V77" s="30">
        <f t="shared" si="7"/>
        <v>1</v>
      </c>
      <c r="W77" s="30" t="str">
        <f>_xlfn.IFNA(INDEX($B$42:$B$97,MATCH((D77-($B$13+$B$18)), $D$42:$D$97,1),1)&amp;"_Floor","")</f>
        <v>Story7_Floor</v>
      </c>
      <c r="X77" s="30">
        <f t="shared" si="8"/>
        <v>1</v>
      </c>
      <c r="Y77" s="30" t="str">
        <f>_xlfn.IFNA(INDEX($B$42:$B$97,MATCH((D77-($B$13+$B$18)), $D$42:$D$97,1),1)&amp;"_Floor","")</f>
        <v>Story7_Floor</v>
      </c>
      <c r="Z77" s="30">
        <f t="shared" si="9"/>
        <v>1</v>
      </c>
    </row>
    <row r="78" spans="1:26" x14ac:dyDescent="0.2">
      <c r="A78" s="49"/>
      <c r="B78" s="29" t="str">
        <f>IF(A78&lt;&gt;"", A78,"Day_"&amp;D78)</f>
        <v>Day_288</v>
      </c>
      <c r="C78" s="29">
        <v>37</v>
      </c>
      <c r="D78" s="34">
        <f t="shared" si="11"/>
        <v>288</v>
      </c>
      <c r="E78" s="30" t="s">
        <v>126</v>
      </c>
      <c r="F78" s="30"/>
      <c r="G78" s="30" t="str">
        <f t="shared" si="1"/>
        <v/>
      </c>
      <c r="H78" s="30" t="s">
        <v>126</v>
      </c>
      <c r="I78" s="30" t="str">
        <f>_xlfn.IFNA(INDEX($B$42:$B$97,MATCH((D78-$B$13), $D$42:$D$97,1),1)&amp;"_Floor","")</f>
        <v>Story31_Floor</v>
      </c>
      <c r="J78" s="30">
        <f t="shared" si="2"/>
        <v>3</v>
      </c>
      <c r="K78" s="30" t="s">
        <v>126</v>
      </c>
      <c r="L78" s="30"/>
      <c r="M78" s="30" t="str">
        <f t="shared" si="3"/>
        <v/>
      </c>
      <c r="N78" s="30" t="s">
        <v>126</v>
      </c>
      <c r="O78" s="30" t="str">
        <f>_xlfn.IFNA(INDEX($B$42:$B$97,MATCH((D78-$B$13), $D$42:$D$97,1),1)&amp;"_Column","")</f>
        <v>Story31_Column</v>
      </c>
      <c r="P78" s="30">
        <f t="shared" si="4"/>
        <v>6</v>
      </c>
      <c r="Q78" s="30" t="s">
        <v>148</v>
      </c>
      <c r="R78" s="30">
        <f t="shared" si="5"/>
        <v>1</v>
      </c>
      <c r="S78" s="30"/>
      <c r="T78" s="30" t="str">
        <f t="shared" si="6"/>
        <v/>
      </c>
      <c r="U78" s="30" t="str">
        <f>_xlfn.IFNA(INDEX($B$42:$B$97,MATCH((D78-($B$13+$B$17)), $D$42:$D$97,1),1)&amp;"_Floor","")</f>
        <v>Story19_Floor</v>
      </c>
      <c r="V78" s="30">
        <f t="shared" si="7"/>
        <v>1</v>
      </c>
      <c r="W78" s="30" t="str">
        <f>_xlfn.IFNA(INDEX($B$42:$B$97,MATCH((D78-($B$13+$B$18)), $D$42:$D$97,1),1)&amp;"_Floor","")</f>
        <v>Story8_Floor</v>
      </c>
      <c r="X78" s="30">
        <f t="shared" si="8"/>
        <v>1</v>
      </c>
      <c r="Y78" s="30" t="str">
        <f>_xlfn.IFNA(INDEX($B$42:$B$97,MATCH((D78-($B$13+$B$18)), $D$42:$D$97,1),1)&amp;"_Floor","")</f>
        <v>Story8_Floor</v>
      </c>
      <c r="Z78" s="30">
        <f t="shared" si="9"/>
        <v>1</v>
      </c>
    </row>
    <row r="79" spans="1:26" x14ac:dyDescent="0.2">
      <c r="A79" s="49"/>
      <c r="B79" s="29" t="str">
        <f t="shared" ref="B79:B105" si="12">IF(A79&lt;&gt;"", A79,"Day_"&amp;D79)</f>
        <v>Day_296</v>
      </c>
      <c r="C79" s="29">
        <v>38</v>
      </c>
      <c r="D79" s="34">
        <f t="shared" si="11"/>
        <v>296</v>
      </c>
      <c r="E79" s="30" t="s">
        <v>126</v>
      </c>
      <c r="F79" s="30"/>
      <c r="G79" s="30" t="str">
        <f t="shared" si="1"/>
        <v/>
      </c>
      <c r="H79" s="30" t="s">
        <v>126</v>
      </c>
      <c r="I79" s="30" t="str">
        <f>_xlfn.IFNA(INDEX($B$42:$B$97,MATCH((D79-$B$13), $D$42:$D$97,1),1)&amp;"_Floor","")</f>
        <v>Story32_Floor</v>
      </c>
      <c r="J79" s="30">
        <f t="shared" si="2"/>
        <v>3</v>
      </c>
      <c r="K79" s="30" t="s">
        <v>126</v>
      </c>
      <c r="L79" s="30"/>
      <c r="M79" s="30" t="str">
        <f t="shared" si="3"/>
        <v/>
      </c>
      <c r="N79" s="30" t="s">
        <v>126</v>
      </c>
      <c r="O79" s="30" t="str">
        <f>_xlfn.IFNA(INDEX($B$42:$B$97,MATCH((D79-$B$13), $D$42:$D$97,1),1)&amp;"_Column","")</f>
        <v>Story32_Column</v>
      </c>
      <c r="P79" s="30">
        <f t="shared" si="4"/>
        <v>6</v>
      </c>
      <c r="Q79" s="30" t="s">
        <v>148</v>
      </c>
      <c r="R79" s="30">
        <f t="shared" si="5"/>
        <v>1</v>
      </c>
      <c r="S79" s="30"/>
      <c r="T79" s="30" t="str">
        <f t="shared" si="6"/>
        <v/>
      </c>
      <c r="U79" s="30" t="str">
        <f>_xlfn.IFNA(INDEX($B$42:$B$97,MATCH((D79-($B$13+$B$17)), $D$42:$D$97,1),1)&amp;"_Floor","")</f>
        <v>Story20_Floor</v>
      </c>
      <c r="V79" s="30">
        <f t="shared" si="7"/>
        <v>1</v>
      </c>
      <c r="W79" s="30" t="str">
        <f>_xlfn.IFNA(INDEX($B$42:$B$97,MATCH((D79-($B$13+$B$18)), $D$42:$D$97,1),1)&amp;"_Floor","")</f>
        <v>Story9_Floor</v>
      </c>
      <c r="X79" s="30">
        <f t="shared" si="8"/>
        <v>1</v>
      </c>
      <c r="Y79" s="30" t="str">
        <f>_xlfn.IFNA(INDEX($B$42:$B$97,MATCH((D79-($B$13+$B$18)), $D$42:$D$97,1),1)&amp;"_Floor","")</f>
        <v>Story9_Floor</v>
      </c>
      <c r="Z79" s="30">
        <f t="shared" si="9"/>
        <v>1</v>
      </c>
    </row>
    <row r="80" spans="1:26" x14ac:dyDescent="0.2">
      <c r="A80" s="49"/>
      <c r="B80" s="29" t="str">
        <f t="shared" si="12"/>
        <v>Day_304</v>
      </c>
      <c r="C80" s="29">
        <v>39</v>
      </c>
      <c r="D80" s="34">
        <f t="shared" si="11"/>
        <v>304</v>
      </c>
      <c r="E80" s="30" t="s">
        <v>126</v>
      </c>
      <c r="F80" s="30"/>
      <c r="G80" s="30" t="str">
        <f t="shared" si="1"/>
        <v/>
      </c>
      <c r="H80" s="30" t="s">
        <v>126</v>
      </c>
      <c r="I80" s="30" t="str">
        <f>_xlfn.IFNA(INDEX($B$42:$B$97,MATCH((D80-$B$13), $D$42:$D$97,1),1)&amp;"_Floor","")</f>
        <v>Story33_Floor</v>
      </c>
      <c r="J80" s="30">
        <f t="shared" si="2"/>
        <v>3</v>
      </c>
      <c r="K80" s="30" t="s">
        <v>126</v>
      </c>
      <c r="L80" s="30"/>
      <c r="M80" s="30" t="str">
        <f t="shared" si="3"/>
        <v/>
      </c>
      <c r="N80" s="30" t="s">
        <v>126</v>
      </c>
      <c r="O80" s="30" t="str">
        <f>_xlfn.IFNA(INDEX($B$42:$B$97,MATCH((D80-$B$13), $D$42:$D$97,1),1)&amp;"_Column","")</f>
        <v>Story33_Column</v>
      </c>
      <c r="P80" s="30">
        <f t="shared" si="4"/>
        <v>6</v>
      </c>
      <c r="Q80" s="30" t="s">
        <v>148</v>
      </c>
      <c r="R80" s="30">
        <f t="shared" si="5"/>
        <v>1</v>
      </c>
      <c r="S80" s="30"/>
      <c r="T80" s="30" t="str">
        <f t="shared" si="6"/>
        <v/>
      </c>
      <c r="U80" s="30" t="str">
        <f>_xlfn.IFNA(INDEX($B$42:$B$97,MATCH((D80-($B$13+$B$17)), $D$42:$D$97,1),1)&amp;"_Floor","")</f>
        <v>Story21_Floor</v>
      </c>
      <c r="V80" s="30">
        <f t="shared" si="7"/>
        <v>1</v>
      </c>
      <c r="W80" s="30" t="str">
        <f>_xlfn.IFNA(INDEX($B$42:$B$97,MATCH((D80-($B$13+$B$18)), $D$42:$D$97,1),1)&amp;"_Floor","")</f>
        <v>Story10_Floor</v>
      </c>
      <c r="X80" s="30">
        <f t="shared" si="8"/>
        <v>1</v>
      </c>
      <c r="Y80" s="30" t="str">
        <f>_xlfn.IFNA(INDEX($B$42:$B$97,MATCH((D80-($B$13+$B$18)), $D$42:$D$97,1),1)&amp;"_Floor","")</f>
        <v>Story10_Floor</v>
      </c>
      <c r="Z80" s="30">
        <f t="shared" si="9"/>
        <v>1</v>
      </c>
    </row>
    <row r="81" spans="1:26" x14ac:dyDescent="0.2">
      <c r="A81" s="49"/>
      <c r="B81" s="29" t="str">
        <f t="shared" si="12"/>
        <v>Day_312</v>
      </c>
      <c r="C81" s="29">
        <v>40</v>
      </c>
      <c r="D81" s="34">
        <f t="shared" si="11"/>
        <v>312</v>
      </c>
      <c r="E81" s="30" t="s">
        <v>126</v>
      </c>
      <c r="F81" s="30"/>
      <c r="G81" s="30" t="str">
        <f t="shared" si="1"/>
        <v/>
      </c>
      <c r="H81" s="30" t="s">
        <v>126</v>
      </c>
      <c r="I81" s="30" t="str">
        <f>_xlfn.IFNA(INDEX($B$42:$B$97,MATCH((D81-$B$13), $D$42:$D$97,1),1)&amp;"_Floor","")</f>
        <v>Story34 - Sky Terrace_Floor</v>
      </c>
      <c r="J81" s="30">
        <f t="shared" si="2"/>
        <v>3</v>
      </c>
      <c r="K81" s="30" t="s">
        <v>126</v>
      </c>
      <c r="L81" s="30"/>
      <c r="M81" s="30" t="str">
        <f t="shared" si="3"/>
        <v/>
      </c>
      <c r="N81" s="30" t="s">
        <v>126</v>
      </c>
      <c r="O81" s="30" t="str">
        <f>_xlfn.IFNA(INDEX($B$42:$B$97,MATCH((D81-$B$13), $D$42:$D$97,1),1)&amp;"_Column","")</f>
        <v>Story34 - Sky Terrace_Column</v>
      </c>
      <c r="P81" s="30">
        <f t="shared" si="4"/>
        <v>6</v>
      </c>
      <c r="Q81" s="30" t="s">
        <v>148</v>
      </c>
      <c r="R81" s="30">
        <f t="shared" si="5"/>
        <v>1</v>
      </c>
      <c r="S81" s="30"/>
      <c r="T81" s="30" t="str">
        <f t="shared" si="6"/>
        <v/>
      </c>
      <c r="U81" s="30" t="str">
        <f>_xlfn.IFNA(INDEX($B$42:$B$97,MATCH((D81-($B$13+$B$17)), $D$42:$D$97,1),1)&amp;"_Floor","")</f>
        <v>Story22_Floor</v>
      </c>
      <c r="V81" s="30">
        <f t="shared" si="7"/>
        <v>1</v>
      </c>
      <c r="W81" s="30" t="str">
        <f>_xlfn.IFNA(INDEX($B$42:$B$97,MATCH((D81-($B$13+$B$18)), $D$42:$D$97,1),1)&amp;"_Floor","")</f>
        <v>Story11_Floor</v>
      </c>
      <c r="X81" s="30">
        <f t="shared" si="8"/>
        <v>1</v>
      </c>
      <c r="Y81" s="30" t="str">
        <f>_xlfn.IFNA(INDEX($B$42:$B$97,MATCH((D81-($B$13+$B$18)), $D$42:$D$97,1),1)&amp;"_Floor","")</f>
        <v>Story11_Floor</v>
      </c>
      <c r="Z81" s="30">
        <f t="shared" si="9"/>
        <v>1</v>
      </c>
    </row>
    <row r="82" spans="1:26" x14ac:dyDescent="0.2">
      <c r="A82" s="49"/>
      <c r="B82" s="29" t="str">
        <f t="shared" si="12"/>
        <v>Day_320</v>
      </c>
      <c r="C82" s="29">
        <v>41</v>
      </c>
      <c r="D82" s="34">
        <f t="shared" si="11"/>
        <v>320</v>
      </c>
      <c r="E82" s="30" t="s">
        <v>126</v>
      </c>
      <c r="F82" s="30"/>
      <c r="G82" s="30" t="str">
        <f t="shared" si="1"/>
        <v/>
      </c>
      <c r="H82" s="30" t="s">
        <v>126</v>
      </c>
      <c r="I82" s="30" t="str">
        <f>_xlfn.IFNA(INDEX($B$42:$B$97,MATCH((D82-$B$13), $D$42:$D$97,1),1)&amp;"_Floor","")</f>
        <v>Story35 - Roof_Floor</v>
      </c>
      <c r="J82" s="30">
        <f t="shared" si="2"/>
        <v>3</v>
      </c>
      <c r="K82" s="30" t="s">
        <v>126</v>
      </c>
      <c r="L82" s="30"/>
      <c r="M82" s="30" t="str">
        <f t="shared" si="3"/>
        <v/>
      </c>
      <c r="N82" s="30" t="s">
        <v>126</v>
      </c>
      <c r="O82" s="30" t="str">
        <f>_xlfn.IFNA(INDEX($B$42:$B$97,MATCH((D82-$B$13), $D$42:$D$97,1),1)&amp;"_Column","")</f>
        <v>Story35 - Roof_Column</v>
      </c>
      <c r="P82" s="30">
        <f t="shared" si="4"/>
        <v>6</v>
      </c>
      <c r="Q82" s="30" t="s">
        <v>148</v>
      </c>
      <c r="R82" s="30">
        <f t="shared" si="5"/>
        <v>1</v>
      </c>
      <c r="S82" s="30"/>
      <c r="T82" s="30" t="str">
        <f t="shared" si="6"/>
        <v/>
      </c>
      <c r="U82" s="30" t="str">
        <f>_xlfn.IFNA(INDEX($B$42:$B$97,MATCH((D82-($B$13+$B$17)), $D$42:$D$97,1),1)&amp;"_Floor","")</f>
        <v>Story23_Floor</v>
      </c>
      <c r="V82" s="30">
        <f t="shared" si="7"/>
        <v>1</v>
      </c>
      <c r="W82" s="30" t="str">
        <f>_xlfn.IFNA(INDEX($B$42:$B$97,MATCH((D82-($B$13+$B$18)), $D$42:$D$97,1),1)&amp;"_Floor","")</f>
        <v>Story12_Floor</v>
      </c>
      <c r="X82" s="30">
        <f t="shared" si="8"/>
        <v>1</v>
      </c>
      <c r="Y82" s="30" t="str">
        <f>_xlfn.IFNA(INDEX($B$42:$B$97,MATCH((D82-($B$13+$B$18)), $D$42:$D$97,1),1)&amp;"_Floor","")</f>
        <v>Story12_Floor</v>
      </c>
      <c r="Z82" s="30">
        <f t="shared" si="9"/>
        <v>1</v>
      </c>
    </row>
    <row r="83" spans="1:26" x14ac:dyDescent="0.2">
      <c r="A83" s="49"/>
      <c r="B83" s="29" t="str">
        <f t="shared" si="12"/>
        <v>Day_328</v>
      </c>
      <c r="C83" s="29">
        <v>42</v>
      </c>
      <c r="D83" s="34">
        <f t="shared" si="11"/>
        <v>328</v>
      </c>
      <c r="E83" s="30" t="s">
        <v>126</v>
      </c>
      <c r="F83" s="30"/>
      <c r="G83" s="30" t="str">
        <f t="shared" si="1"/>
        <v/>
      </c>
      <c r="H83" s="30" t="s">
        <v>126</v>
      </c>
      <c r="I83" s="30"/>
      <c r="J83" s="30" t="str">
        <f t="shared" si="2"/>
        <v/>
      </c>
      <c r="K83" s="30" t="s">
        <v>126</v>
      </c>
      <c r="L83" s="30"/>
      <c r="M83" s="30" t="str">
        <f t="shared" si="3"/>
        <v/>
      </c>
      <c r="N83" s="30" t="s">
        <v>126</v>
      </c>
      <c r="O83" s="30"/>
      <c r="P83" s="30" t="str">
        <f t="shared" si="4"/>
        <v/>
      </c>
      <c r="Q83" s="30" t="s">
        <v>148</v>
      </c>
      <c r="R83" s="30">
        <f t="shared" si="5"/>
        <v>1</v>
      </c>
      <c r="S83" s="30"/>
      <c r="T83" s="30" t="str">
        <f t="shared" si="6"/>
        <v/>
      </c>
      <c r="U83" s="30" t="str">
        <f>_xlfn.IFNA(INDEX($B$42:$B$97,MATCH((D83-($B$13+$B$17)), $D$42:$D$97,1),1)&amp;"_Floor","")</f>
        <v>Story24_Floor</v>
      </c>
      <c r="V83" s="30">
        <f t="shared" si="7"/>
        <v>1</v>
      </c>
      <c r="W83" s="30" t="str">
        <f>_xlfn.IFNA(INDEX($B$42:$B$97,MATCH((D83-($B$13+$B$18)), $D$42:$D$97,1),1)&amp;"_Floor","")</f>
        <v>Story13_Floor</v>
      </c>
      <c r="X83" s="30">
        <f t="shared" si="8"/>
        <v>1</v>
      </c>
      <c r="Y83" s="30" t="str">
        <f>_xlfn.IFNA(INDEX($B$42:$B$97,MATCH((D83-($B$13+$B$18)), $D$42:$D$97,1),1)&amp;"_Floor","")</f>
        <v>Story13_Floor</v>
      </c>
      <c r="Z83" s="30">
        <f t="shared" si="9"/>
        <v>1</v>
      </c>
    </row>
    <row r="84" spans="1:26" x14ac:dyDescent="0.2">
      <c r="A84" s="49"/>
      <c r="B84" s="29" t="str">
        <f t="shared" si="12"/>
        <v>Day_336</v>
      </c>
      <c r="C84" s="29">
        <v>43</v>
      </c>
      <c r="D84" s="34">
        <f t="shared" si="11"/>
        <v>336</v>
      </c>
      <c r="E84" s="30" t="s">
        <v>126</v>
      </c>
      <c r="F84" s="30"/>
      <c r="G84" s="30" t="str">
        <f t="shared" si="1"/>
        <v/>
      </c>
      <c r="H84" s="30" t="s">
        <v>126</v>
      </c>
      <c r="I84" s="30"/>
      <c r="J84" s="30" t="str">
        <f t="shared" si="2"/>
        <v/>
      </c>
      <c r="K84" s="30" t="s">
        <v>126</v>
      </c>
      <c r="L84" s="30"/>
      <c r="M84" s="30" t="str">
        <f t="shared" si="3"/>
        <v/>
      </c>
      <c r="N84" s="30" t="s">
        <v>126</v>
      </c>
      <c r="O84" s="30"/>
      <c r="P84" s="30" t="str">
        <f t="shared" si="4"/>
        <v/>
      </c>
      <c r="Q84" s="30" t="s">
        <v>148</v>
      </c>
      <c r="R84" s="30">
        <f t="shared" si="5"/>
        <v>1</v>
      </c>
      <c r="S84" s="30"/>
      <c r="T84" s="30" t="str">
        <f t="shared" si="6"/>
        <v/>
      </c>
      <c r="U84" s="30" t="str">
        <f>_xlfn.IFNA(INDEX($B$42:$B$97,MATCH((D84-($B$13+$B$17)), $D$42:$D$97,1),1)&amp;"_Floor","")</f>
        <v>Story25_Floor</v>
      </c>
      <c r="V84" s="30">
        <f t="shared" si="7"/>
        <v>1</v>
      </c>
      <c r="W84" s="30" t="str">
        <f>_xlfn.IFNA(INDEX($B$42:$B$97,MATCH((D84-($B$13+$B$18)), $D$42:$D$97,1),1)&amp;"_Floor","")</f>
        <v>Story14_Floor</v>
      </c>
      <c r="X84" s="30">
        <f t="shared" si="8"/>
        <v>1</v>
      </c>
      <c r="Y84" s="30" t="str">
        <f>_xlfn.IFNA(INDEX($B$42:$B$97,MATCH((D84-($B$13+$B$18)), $D$42:$D$97,1),1)&amp;"_Floor","")</f>
        <v>Story14_Floor</v>
      </c>
      <c r="Z84" s="30">
        <f t="shared" si="9"/>
        <v>1</v>
      </c>
    </row>
    <row r="85" spans="1:26" x14ac:dyDescent="0.2">
      <c r="A85" s="49"/>
      <c r="B85" s="29" t="str">
        <f t="shared" si="12"/>
        <v>Day_344</v>
      </c>
      <c r="C85" s="29">
        <v>44</v>
      </c>
      <c r="D85" s="34">
        <f t="shared" si="11"/>
        <v>344</v>
      </c>
      <c r="E85" s="30" t="s">
        <v>126</v>
      </c>
      <c r="F85" s="30"/>
      <c r="G85" s="30" t="str">
        <f t="shared" si="1"/>
        <v/>
      </c>
      <c r="H85" s="30" t="s">
        <v>126</v>
      </c>
      <c r="I85" s="30"/>
      <c r="J85" s="30" t="str">
        <f t="shared" si="2"/>
        <v/>
      </c>
      <c r="K85" s="30" t="s">
        <v>126</v>
      </c>
      <c r="L85" s="30"/>
      <c r="M85" s="30" t="str">
        <f t="shared" si="3"/>
        <v/>
      </c>
      <c r="N85" s="30" t="s">
        <v>126</v>
      </c>
      <c r="O85" s="30"/>
      <c r="P85" s="30" t="str">
        <f t="shared" si="4"/>
        <v/>
      </c>
      <c r="Q85" s="30" t="s">
        <v>148</v>
      </c>
      <c r="R85" s="30">
        <f t="shared" si="5"/>
        <v>1</v>
      </c>
      <c r="S85" s="30"/>
      <c r="T85" s="30" t="str">
        <f t="shared" si="6"/>
        <v/>
      </c>
      <c r="U85" s="30" t="str">
        <f>_xlfn.IFNA(INDEX($B$42:$B$97,MATCH((D85-($B$13+$B$17)), $D$42:$D$97,1),1)&amp;"_Floor","")</f>
        <v>Story26_Floor</v>
      </c>
      <c r="V85" s="30">
        <f t="shared" si="7"/>
        <v>1</v>
      </c>
      <c r="W85" s="30" t="str">
        <f>_xlfn.IFNA(INDEX($B$42:$B$97,MATCH((D85-($B$13+$B$18)), $D$42:$D$97,1),1)&amp;"_Floor","")</f>
        <v>Story15_Floor</v>
      </c>
      <c r="X85" s="30">
        <f t="shared" si="8"/>
        <v>1</v>
      </c>
      <c r="Y85" s="30" t="str">
        <f>_xlfn.IFNA(INDEX($B$42:$B$97,MATCH((D85-($B$13+$B$18)), $D$42:$D$97,1),1)&amp;"_Floor","")</f>
        <v>Story15_Floor</v>
      </c>
      <c r="Z85" s="30">
        <f t="shared" si="9"/>
        <v>1</v>
      </c>
    </row>
    <row r="86" spans="1:26" x14ac:dyDescent="0.2">
      <c r="A86" s="49"/>
      <c r="B86" s="29" t="str">
        <f t="shared" si="12"/>
        <v>Day_352</v>
      </c>
      <c r="C86" s="29">
        <v>45</v>
      </c>
      <c r="D86" s="34">
        <f t="shared" si="11"/>
        <v>352</v>
      </c>
      <c r="E86" s="30" t="s">
        <v>126</v>
      </c>
      <c r="F86" s="30"/>
      <c r="G86" s="30" t="str">
        <f t="shared" si="1"/>
        <v/>
      </c>
      <c r="H86" s="30" t="s">
        <v>126</v>
      </c>
      <c r="I86" s="30"/>
      <c r="J86" s="30" t="str">
        <f t="shared" si="2"/>
        <v/>
      </c>
      <c r="K86" s="30" t="s">
        <v>126</v>
      </c>
      <c r="L86" s="30"/>
      <c r="M86" s="30" t="str">
        <f t="shared" si="3"/>
        <v/>
      </c>
      <c r="N86" s="30" t="s">
        <v>126</v>
      </c>
      <c r="O86" s="30"/>
      <c r="P86" s="30" t="str">
        <f t="shared" si="4"/>
        <v/>
      </c>
      <c r="Q86" s="30" t="s">
        <v>148</v>
      </c>
      <c r="R86" s="30">
        <f t="shared" si="5"/>
        <v>1</v>
      </c>
      <c r="S86" s="30"/>
      <c r="T86" s="30" t="str">
        <f t="shared" si="6"/>
        <v/>
      </c>
      <c r="U86" s="30" t="str">
        <f>_xlfn.IFNA(INDEX($B$42:$B$97,MATCH((D86-($B$13+$B$17)), $D$42:$D$97,1),1)&amp;"_Floor","")</f>
        <v>Story27_Floor</v>
      </c>
      <c r="V86" s="30">
        <f t="shared" si="7"/>
        <v>1</v>
      </c>
      <c r="W86" s="30" t="str">
        <f>_xlfn.IFNA(INDEX($B$42:$B$97,MATCH((D86-($B$13+$B$18)), $D$42:$D$97,1),1)&amp;"_Floor","")</f>
        <v>Story16_Floor</v>
      </c>
      <c r="X86" s="30">
        <f t="shared" si="8"/>
        <v>1</v>
      </c>
      <c r="Y86" s="30" t="str">
        <f>_xlfn.IFNA(INDEX($B$42:$B$97,MATCH((D86-($B$13+$B$18)), $D$42:$D$97,1),1)&amp;"_Floor","")</f>
        <v>Story16_Floor</v>
      </c>
      <c r="Z86" s="30">
        <f t="shared" si="9"/>
        <v>1</v>
      </c>
    </row>
    <row r="87" spans="1:26" x14ac:dyDescent="0.2">
      <c r="A87" s="49"/>
      <c r="B87" s="29" t="str">
        <f t="shared" si="12"/>
        <v>Day_360</v>
      </c>
      <c r="C87" s="29">
        <v>46</v>
      </c>
      <c r="D87" s="34">
        <f t="shared" si="11"/>
        <v>360</v>
      </c>
      <c r="E87" s="30" t="s">
        <v>126</v>
      </c>
      <c r="F87" s="30"/>
      <c r="G87" s="30" t="str">
        <f t="shared" si="1"/>
        <v/>
      </c>
      <c r="H87" s="30" t="s">
        <v>126</v>
      </c>
      <c r="I87" s="30"/>
      <c r="J87" s="30" t="str">
        <f t="shared" si="2"/>
        <v/>
      </c>
      <c r="K87" s="30" t="s">
        <v>126</v>
      </c>
      <c r="L87" s="30"/>
      <c r="M87" s="30" t="str">
        <f t="shared" si="3"/>
        <v/>
      </c>
      <c r="N87" s="30" t="s">
        <v>126</v>
      </c>
      <c r="O87" s="30"/>
      <c r="P87" s="30" t="str">
        <f t="shared" si="4"/>
        <v/>
      </c>
      <c r="Q87" s="30" t="s">
        <v>148</v>
      </c>
      <c r="R87" s="30">
        <f t="shared" si="5"/>
        <v>1</v>
      </c>
      <c r="S87" s="30"/>
      <c r="T87" s="30" t="str">
        <f t="shared" si="6"/>
        <v/>
      </c>
      <c r="U87" s="30" t="str">
        <f>_xlfn.IFNA(INDEX($B$42:$B$97,MATCH((D87-($B$13+$B$17)), $D$42:$D$97,1),1)&amp;"_Floor","")</f>
        <v>Story28_Floor</v>
      </c>
      <c r="V87" s="30">
        <f t="shared" si="7"/>
        <v>1</v>
      </c>
      <c r="W87" s="30" t="str">
        <f>_xlfn.IFNA(INDEX($B$42:$B$97,MATCH((D87-($B$13+$B$18)), $D$42:$D$97,1),1)&amp;"_Floor","")</f>
        <v>Story17_Floor</v>
      </c>
      <c r="X87" s="30">
        <f t="shared" si="8"/>
        <v>1</v>
      </c>
      <c r="Y87" s="30" t="str">
        <f>_xlfn.IFNA(INDEX($B$42:$B$97,MATCH((D87-($B$13+$B$18)), $D$42:$D$97,1),1)&amp;"_Floor","")</f>
        <v>Story17_Floor</v>
      </c>
      <c r="Z87" s="30">
        <f t="shared" si="9"/>
        <v>1</v>
      </c>
    </row>
    <row r="88" spans="1:26" x14ac:dyDescent="0.2">
      <c r="A88" s="49"/>
      <c r="B88" s="29" t="str">
        <f t="shared" si="12"/>
        <v>Day_368</v>
      </c>
      <c r="C88" s="29">
        <v>47</v>
      </c>
      <c r="D88" s="34">
        <f t="shared" si="11"/>
        <v>368</v>
      </c>
      <c r="E88" s="30" t="s">
        <v>126</v>
      </c>
      <c r="F88" s="30"/>
      <c r="G88" s="30" t="str">
        <f t="shared" si="1"/>
        <v/>
      </c>
      <c r="H88" s="30" t="s">
        <v>126</v>
      </c>
      <c r="I88" s="30"/>
      <c r="J88" s="30" t="str">
        <f t="shared" si="2"/>
        <v/>
      </c>
      <c r="K88" s="30" t="s">
        <v>126</v>
      </c>
      <c r="L88" s="30"/>
      <c r="M88" s="30" t="str">
        <f t="shared" si="3"/>
        <v/>
      </c>
      <c r="N88" s="30" t="s">
        <v>126</v>
      </c>
      <c r="O88" s="30"/>
      <c r="P88" s="30" t="str">
        <f t="shared" si="4"/>
        <v/>
      </c>
      <c r="Q88" s="30" t="s">
        <v>148</v>
      </c>
      <c r="R88" s="30">
        <f t="shared" si="5"/>
        <v>1</v>
      </c>
      <c r="S88" s="30"/>
      <c r="T88" s="30" t="str">
        <f t="shared" si="6"/>
        <v/>
      </c>
      <c r="U88" s="30" t="str">
        <f>_xlfn.IFNA(INDEX($B$42:$B$97,MATCH((D88-($B$13+$B$17)), $D$42:$D$97,1),1)&amp;"_Floor","")</f>
        <v>Story29_Floor</v>
      </c>
      <c r="V88" s="30">
        <f t="shared" si="7"/>
        <v>1</v>
      </c>
      <c r="W88" s="30" t="str">
        <f>_xlfn.IFNA(INDEX($B$42:$B$97,MATCH((D88-($B$13+$B$18)), $D$42:$D$97,1),1)&amp;"_Floor","")</f>
        <v>Story18_Floor</v>
      </c>
      <c r="X88" s="30">
        <f t="shared" si="8"/>
        <v>1</v>
      </c>
      <c r="Y88" s="30" t="str">
        <f>_xlfn.IFNA(INDEX($B$42:$B$97,MATCH((D88-($B$13+$B$18)), $D$42:$D$97,1),1)&amp;"_Floor","")</f>
        <v>Story18_Floor</v>
      </c>
      <c r="Z88" s="30">
        <f t="shared" si="9"/>
        <v>1</v>
      </c>
    </row>
    <row r="89" spans="1:26" x14ac:dyDescent="0.2">
      <c r="A89" s="49"/>
      <c r="B89" s="29" t="str">
        <f t="shared" si="12"/>
        <v>Day_376</v>
      </c>
      <c r="C89" s="29">
        <v>48</v>
      </c>
      <c r="D89" s="34">
        <f t="shared" si="11"/>
        <v>376</v>
      </c>
      <c r="E89" s="30" t="s">
        <v>126</v>
      </c>
      <c r="F89" s="30"/>
      <c r="G89" s="30" t="str">
        <f t="shared" si="1"/>
        <v/>
      </c>
      <c r="H89" s="30" t="s">
        <v>126</v>
      </c>
      <c r="I89" s="30"/>
      <c r="J89" s="30" t="str">
        <f t="shared" si="2"/>
        <v/>
      </c>
      <c r="K89" s="30" t="s">
        <v>126</v>
      </c>
      <c r="L89" s="30"/>
      <c r="M89" s="30" t="str">
        <f t="shared" si="3"/>
        <v/>
      </c>
      <c r="N89" s="30" t="s">
        <v>126</v>
      </c>
      <c r="O89" s="30"/>
      <c r="P89" s="30" t="str">
        <f t="shared" si="4"/>
        <v/>
      </c>
      <c r="Q89" s="30" t="s">
        <v>148</v>
      </c>
      <c r="R89" s="30">
        <f t="shared" si="5"/>
        <v>1</v>
      </c>
      <c r="S89" s="30"/>
      <c r="T89" s="30" t="str">
        <f t="shared" si="6"/>
        <v/>
      </c>
      <c r="U89" s="30" t="str">
        <f>_xlfn.IFNA(INDEX($B$42:$B$97,MATCH((D89-($B$13+$B$17)), $D$42:$D$97,1),1)&amp;"_Floor","")</f>
        <v>Story30_Floor</v>
      </c>
      <c r="V89" s="30">
        <f t="shared" si="7"/>
        <v>1</v>
      </c>
      <c r="W89" s="30" t="str">
        <f>_xlfn.IFNA(INDEX($B$42:$B$97,MATCH((D89-($B$13+$B$18)), $D$42:$D$97,1),1)&amp;"_Floor","")</f>
        <v>Story19_Floor</v>
      </c>
      <c r="X89" s="30">
        <f t="shared" si="8"/>
        <v>1</v>
      </c>
      <c r="Y89" s="30" t="str">
        <f>_xlfn.IFNA(INDEX($B$42:$B$97,MATCH((D89-($B$13+$B$18)), $D$42:$D$97,1),1)&amp;"_Floor","")</f>
        <v>Story19_Floor</v>
      </c>
      <c r="Z89" s="30">
        <f t="shared" si="9"/>
        <v>1</v>
      </c>
    </row>
    <row r="90" spans="1:26" x14ac:dyDescent="0.2">
      <c r="A90" s="49"/>
      <c r="B90" s="29" t="str">
        <f t="shared" si="12"/>
        <v>Day_384</v>
      </c>
      <c r="C90" s="29">
        <v>49</v>
      </c>
      <c r="D90" s="34">
        <f t="shared" si="11"/>
        <v>384</v>
      </c>
      <c r="E90" s="30" t="s">
        <v>126</v>
      </c>
      <c r="F90" s="30"/>
      <c r="G90" s="30" t="str">
        <f t="shared" si="1"/>
        <v/>
      </c>
      <c r="H90" s="30" t="s">
        <v>126</v>
      </c>
      <c r="I90" s="30"/>
      <c r="J90" s="30" t="str">
        <f t="shared" si="2"/>
        <v/>
      </c>
      <c r="K90" s="30" t="s">
        <v>126</v>
      </c>
      <c r="L90" s="30"/>
      <c r="M90" s="30" t="str">
        <f t="shared" si="3"/>
        <v/>
      </c>
      <c r="N90" s="30" t="s">
        <v>126</v>
      </c>
      <c r="O90" s="30"/>
      <c r="P90" s="30" t="str">
        <f t="shared" si="4"/>
        <v/>
      </c>
      <c r="Q90" s="30" t="s">
        <v>148</v>
      </c>
      <c r="R90" s="30">
        <f t="shared" si="5"/>
        <v>1</v>
      </c>
      <c r="S90" s="30"/>
      <c r="T90" s="30" t="str">
        <f t="shared" si="6"/>
        <v/>
      </c>
      <c r="U90" s="30" t="str">
        <f>_xlfn.IFNA(INDEX($B$42:$B$97,MATCH((D90-($B$13+$B$17)), $D$42:$D$97,1),1)&amp;"_Floor","")</f>
        <v>Story31_Floor</v>
      </c>
      <c r="V90" s="30">
        <f t="shared" si="7"/>
        <v>1</v>
      </c>
      <c r="W90" s="30" t="str">
        <f>_xlfn.IFNA(INDEX($B$42:$B$97,MATCH((D90-($B$13+$B$18)), $D$42:$D$97,1),1)&amp;"_Floor","")</f>
        <v>Story20_Floor</v>
      </c>
      <c r="X90" s="30">
        <f t="shared" si="8"/>
        <v>1</v>
      </c>
      <c r="Y90" s="30" t="str">
        <f>_xlfn.IFNA(INDEX($B$42:$B$97,MATCH((D90-($B$13+$B$18)), $D$42:$D$97,1),1)&amp;"_Floor","")</f>
        <v>Story20_Floor</v>
      </c>
      <c r="Z90" s="30">
        <f t="shared" si="9"/>
        <v>1</v>
      </c>
    </row>
    <row r="91" spans="1:26" x14ac:dyDescent="0.2">
      <c r="A91" s="49"/>
      <c r="B91" s="29" t="str">
        <f t="shared" si="12"/>
        <v>Day_392</v>
      </c>
      <c r="C91" s="29">
        <v>50</v>
      </c>
      <c r="D91" s="34">
        <f t="shared" si="11"/>
        <v>392</v>
      </c>
      <c r="E91" s="30" t="s">
        <v>126</v>
      </c>
      <c r="F91" s="30"/>
      <c r="G91" s="30" t="str">
        <f t="shared" si="1"/>
        <v/>
      </c>
      <c r="H91" s="30" t="s">
        <v>126</v>
      </c>
      <c r="I91" s="30"/>
      <c r="J91" s="30" t="str">
        <f t="shared" si="2"/>
        <v/>
      </c>
      <c r="K91" s="30" t="s">
        <v>126</v>
      </c>
      <c r="L91" s="30"/>
      <c r="M91" s="30" t="str">
        <f t="shared" si="3"/>
        <v/>
      </c>
      <c r="N91" s="30" t="s">
        <v>126</v>
      </c>
      <c r="O91" s="30"/>
      <c r="P91" s="30" t="str">
        <f t="shared" si="4"/>
        <v/>
      </c>
      <c r="Q91" s="30" t="s">
        <v>148</v>
      </c>
      <c r="R91" s="30">
        <f t="shared" si="5"/>
        <v>1</v>
      </c>
      <c r="S91" s="30"/>
      <c r="T91" s="30" t="str">
        <f t="shared" si="6"/>
        <v/>
      </c>
      <c r="U91" s="30" t="str">
        <f>_xlfn.IFNA(INDEX($B$42:$B$97,MATCH((D91-($B$13+$B$17)), $D$42:$D$97,1),1)&amp;"_Floor","")</f>
        <v>Story32_Floor</v>
      </c>
      <c r="V91" s="30">
        <f t="shared" si="7"/>
        <v>1</v>
      </c>
      <c r="W91" s="30" t="str">
        <f>_xlfn.IFNA(INDEX($B$42:$B$97,MATCH((D91-($B$13+$B$18)), $D$42:$D$97,1),1)&amp;"_Floor","")</f>
        <v>Story21_Floor</v>
      </c>
      <c r="X91" s="30">
        <f t="shared" si="8"/>
        <v>1</v>
      </c>
      <c r="Y91" s="30" t="str">
        <f>_xlfn.IFNA(INDEX($B$42:$B$97,MATCH((D91-($B$13+$B$18)), $D$42:$D$97,1),1)&amp;"_Floor","")</f>
        <v>Story21_Floor</v>
      </c>
      <c r="Z91" s="30">
        <f t="shared" si="9"/>
        <v>1</v>
      </c>
    </row>
    <row r="92" spans="1:26" x14ac:dyDescent="0.2">
      <c r="A92" s="49"/>
      <c r="B92" s="29" t="str">
        <f t="shared" si="12"/>
        <v>Day_400</v>
      </c>
      <c r="C92" s="29">
        <v>51</v>
      </c>
      <c r="D92" s="34">
        <f t="shared" si="11"/>
        <v>400</v>
      </c>
      <c r="E92" s="30" t="s">
        <v>126</v>
      </c>
      <c r="F92" s="30"/>
      <c r="G92" s="30" t="str">
        <f t="shared" si="1"/>
        <v/>
      </c>
      <c r="H92" s="30" t="s">
        <v>126</v>
      </c>
      <c r="I92" s="30"/>
      <c r="J92" s="30" t="str">
        <f t="shared" si="2"/>
        <v/>
      </c>
      <c r="K92" s="30" t="s">
        <v>126</v>
      </c>
      <c r="L92" s="30"/>
      <c r="M92" s="30" t="str">
        <f t="shared" si="3"/>
        <v/>
      </c>
      <c r="N92" s="30" t="s">
        <v>126</v>
      </c>
      <c r="O92" s="30"/>
      <c r="P92" s="30" t="str">
        <f t="shared" si="4"/>
        <v/>
      </c>
      <c r="Q92" s="30" t="s">
        <v>148</v>
      </c>
      <c r="R92" s="30">
        <f t="shared" si="5"/>
        <v>1</v>
      </c>
      <c r="S92" s="30"/>
      <c r="T92" s="30" t="str">
        <f t="shared" si="6"/>
        <v/>
      </c>
      <c r="U92" s="30" t="str">
        <f>_xlfn.IFNA(INDEX($B$42:$B$97,MATCH((D92-($B$13+$B$17)), $D$42:$D$97,1),1)&amp;"_Floor","")</f>
        <v>Story33_Floor</v>
      </c>
      <c r="V92" s="30">
        <f t="shared" si="7"/>
        <v>1</v>
      </c>
      <c r="W92" s="30" t="str">
        <f>_xlfn.IFNA(INDEX($B$42:$B$97,MATCH((D92-($B$13+$B$18)), $D$42:$D$97,1),1)&amp;"_Floor","")</f>
        <v>Story22_Floor</v>
      </c>
      <c r="X92" s="30">
        <f t="shared" si="8"/>
        <v>1</v>
      </c>
      <c r="Y92" s="30" t="str">
        <f>_xlfn.IFNA(INDEX($B$42:$B$97,MATCH((D92-($B$13+$B$18)), $D$42:$D$97,1),1)&amp;"_Floor","")</f>
        <v>Story22_Floor</v>
      </c>
      <c r="Z92" s="30">
        <f t="shared" si="9"/>
        <v>1</v>
      </c>
    </row>
    <row r="93" spans="1:26" x14ac:dyDescent="0.2">
      <c r="A93" s="49"/>
      <c r="B93" s="29" t="str">
        <f t="shared" si="12"/>
        <v>Day_408</v>
      </c>
      <c r="C93" s="29">
        <v>52</v>
      </c>
      <c r="D93" s="34">
        <f t="shared" si="11"/>
        <v>408</v>
      </c>
      <c r="E93" s="30" t="s">
        <v>126</v>
      </c>
      <c r="F93" s="30"/>
      <c r="G93" s="30" t="str">
        <f t="shared" si="1"/>
        <v/>
      </c>
      <c r="H93" s="30" t="s">
        <v>126</v>
      </c>
      <c r="I93" s="30"/>
      <c r="J93" s="30" t="str">
        <f t="shared" si="2"/>
        <v/>
      </c>
      <c r="K93" s="30" t="s">
        <v>126</v>
      </c>
      <c r="L93" s="30"/>
      <c r="M93" s="30" t="str">
        <f t="shared" si="3"/>
        <v/>
      </c>
      <c r="N93" s="30" t="s">
        <v>126</v>
      </c>
      <c r="O93" s="30"/>
      <c r="P93" s="30" t="str">
        <f t="shared" si="4"/>
        <v/>
      </c>
      <c r="Q93" s="30" t="s">
        <v>148</v>
      </c>
      <c r="R93" s="30">
        <f t="shared" si="5"/>
        <v>1</v>
      </c>
      <c r="S93" s="30"/>
      <c r="T93" s="30" t="str">
        <f t="shared" si="6"/>
        <v/>
      </c>
      <c r="U93" s="30" t="str">
        <f>_xlfn.IFNA(INDEX($B$42:$B$97,MATCH((D93-($B$13+$B$17)), $D$42:$D$97,1),1)&amp;"_Floor","")</f>
        <v>Story34 - Sky Terrace_Floor</v>
      </c>
      <c r="V93" s="30">
        <f t="shared" si="7"/>
        <v>1</v>
      </c>
      <c r="W93" s="30" t="str">
        <f>_xlfn.IFNA(INDEX($B$42:$B$97,MATCH((D93-($B$13+$B$18)), $D$42:$D$97,1),1)&amp;"_Floor","")</f>
        <v>Story23_Floor</v>
      </c>
      <c r="X93" s="30">
        <f t="shared" si="8"/>
        <v>1</v>
      </c>
      <c r="Y93" s="30" t="str">
        <f>_xlfn.IFNA(INDEX($B$42:$B$97,MATCH((D93-($B$13+$B$18)), $D$42:$D$97,1),1)&amp;"_Floor","")</f>
        <v>Story23_Floor</v>
      </c>
      <c r="Z93" s="30">
        <f t="shared" si="9"/>
        <v>1</v>
      </c>
    </row>
    <row r="94" spans="1:26" x14ac:dyDescent="0.2">
      <c r="A94" s="49"/>
      <c r="B94" s="29" t="str">
        <f t="shared" si="12"/>
        <v>Day_416</v>
      </c>
      <c r="C94" s="29">
        <v>53</v>
      </c>
      <c r="D94" s="34">
        <f t="shared" si="11"/>
        <v>416</v>
      </c>
      <c r="E94" s="30" t="s">
        <v>126</v>
      </c>
      <c r="F94" s="30"/>
      <c r="G94" s="30" t="str">
        <f t="shared" si="1"/>
        <v/>
      </c>
      <c r="H94" s="30" t="s">
        <v>126</v>
      </c>
      <c r="I94" s="30"/>
      <c r="J94" s="30" t="str">
        <f t="shared" si="2"/>
        <v/>
      </c>
      <c r="K94" s="30" t="s">
        <v>126</v>
      </c>
      <c r="L94" s="30"/>
      <c r="M94" s="30" t="str">
        <f t="shared" si="3"/>
        <v/>
      </c>
      <c r="N94" s="30" t="s">
        <v>126</v>
      </c>
      <c r="O94" s="30"/>
      <c r="P94" s="30" t="str">
        <f t="shared" si="4"/>
        <v/>
      </c>
      <c r="Q94" s="30" t="s">
        <v>148</v>
      </c>
      <c r="R94" s="30">
        <f t="shared" si="5"/>
        <v>1</v>
      </c>
      <c r="S94" s="30"/>
      <c r="T94" s="30" t="str">
        <f t="shared" si="6"/>
        <v/>
      </c>
      <c r="U94" s="30" t="str">
        <f>_xlfn.IFNA(INDEX($B$42:$B$97,MATCH((D94-($B$13+$B$17)), $D$42:$D$97,1),1)&amp;"_Floor","")</f>
        <v>Story35 - Roof_Floor</v>
      </c>
      <c r="V94" s="30">
        <f t="shared" si="7"/>
        <v>1</v>
      </c>
      <c r="W94" s="30" t="str">
        <f>_xlfn.IFNA(INDEX($B$42:$B$97,MATCH((D94-($B$13+$B$18)), $D$42:$D$97,1),1)&amp;"_Floor","")</f>
        <v>Story24_Floor</v>
      </c>
      <c r="X94" s="30">
        <f t="shared" si="8"/>
        <v>1</v>
      </c>
      <c r="Y94" s="30" t="str">
        <f>_xlfn.IFNA(INDEX($B$42:$B$97,MATCH((D94-($B$13+$B$18)), $D$42:$D$97,1),1)&amp;"_Floor","")</f>
        <v>Story24_Floor</v>
      </c>
      <c r="Z94" s="30">
        <f t="shared" si="9"/>
        <v>1</v>
      </c>
    </row>
    <row r="95" spans="1:26" x14ac:dyDescent="0.2">
      <c r="A95" s="49"/>
      <c r="B95" s="29" t="str">
        <f t="shared" si="12"/>
        <v>Day_424</v>
      </c>
      <c r="C95" s="29">
        <v>54</v>
      </c>
      <c r="D95" s="34">
        <f t="shared" si="11"/>
        <v>424</v>
      </c>
      <c r="E95" s="30" t="s">
        <v>126</v>
      </c>
      <c r="F95" s="30"/>
      <c r="G95" s="30" t="str">
        <f t="shared" si="1"/>
        <v/>
      </c>
      <c r="H95" s="30" t="s">
        <v>126</v>
      </c>
      <c r="I95" s="30"/>
      <c r="J95" s="30" t="str">
        <f t="shared" si="2"/>
        <v/>
      </c>
      <c r="K95" s="30" t="s">
        <v>126</v>
      </c>
      <c r="L95" s="30"/>
      <c r="M95" s="30" t="str">
        <f t="shared" si="3"/>
        <v/>
      </c>
      <c r="N95" s="30" t="s">
        <v>126</v>
      </c>
      <c r="O95" s="30"/>
      <c r="P95" s="30" t="str">
        <f t="shared" si="4"/>
        <v/>
      </c>
      <c r="Q95" s="30" t="s">
        <v>148</v>
      </c>
      <c r="R95" s="30">
        <f t="shared" si="5"/>
        <v>1</v>
      </c>
      <c r="S95" s="30"/>
      <c r="T95" s="30" t="str">
        <f t="shared" si="6"/>
        <v/>
      </c>
      <c r="U95" s="30"/>
      <c r="V95" s="30" t="str">
        <f t="shared" si="7"/>
        <v/>
      </c>
      <c r="W95" s="30" t="str">
        <f>_xlfn.IFNA(INDEX($B$42:$B$97,MATCH((D95-($B$13+$B$18)), $D$42:$D$97,1),1)&amp;"_Floor","")</f>
        <v>Story25_Floor</v>
      </c>
      <c r="X95" s="30">
        <f t="shared" si="8"/>
        <v>1</v>
      </c>
      <c r="Y95" s="30" t="str">
        <f>_xlfn.IFNA(INDEX($B$42:$B$97,MATCH((D95-($B$13+$B$18)), $D$42:$D$97,1),1)&amp;"_Floor","")</f>
        <v>Story25_Floor</v>
      </c>
      <c r="Z95" s="30">
        <f t="shared" si="9"/>
        <v>1</v>
      </c>
    </row>
    <row r="96" spans="1:26" x14ac:dyDescent="0.2">
      <c r="A96" s="49"/>
      <c r="B96" s="29" t="str">
        <f t="shared" si="12"/>
        <v>Day_432</v>
      </c>
      <c r="C96" s="29">
        <v>55</v>
      </c>
      <c r="D96" s="34">
        <f t="shared" si="11"/>
        <v>432</v>
      </c>
      <c r="E96" s="30" t="s">
        <v>126</v>
      </c>
      <c r="F96" s="30"/>
      <c r="G96" s="30" t="str">
        <f t="shared" si="1"/>
        <v/>
      </c>
      <c r="H96" s="30" t="s">
        <v>126</v>
      </c>
      <c r="I96" s="30"/>
      <c r="J96" s="30" t="str">
        <f t="shared" si="2"/>
        <v/>
      </c>
      <c r="K96" s="30" t="s">
        <v>126</v>
      </c>
      <c r="L96" s="30"/>
      <c r="M96" s="30" t="str">
        <f t="shared" si="3"/>
        <v/>
      </c>
      <c r="N96" s="30" t="s">
        <v>126</v>
      </c>
      <c r="O96" s="30"/>
      <c r="P96" s="30" t="str">
        <f t="shared" si="4"/>
        <v/>
      </c>
      <c r="Q96" s="30" t="s">
        <v>148</v>
      </c>
      <c r="R96" s="30">
        <f t="shared" si="5"/>
        <v>1</v>
      </c>
      <c r="S96" s="30"/>
      <c r="T96" s="30" t="str">
        <f t="shared" si="6"/>
        <v/>
      </c>
      <c r="U96" s="30"/>
      <c r="V96" s="30" t="str">
        <f t="shared" si="7"/>
        <v/>
      </c>
      <c r="W96" s="30" t="str">
        <f>_xlfn.IFNA(INDEX($B$42:$B$97,MATCH((D96-($B$13+$B$18)), $D$42:$D$97,1),1)&amp;"_Floor","")</f>
        <v>Story26_Floor</v>
      </c>
      <c r="X96" s="30">
        <f t="shared" si="8"/>
        <v>1</v>
      </c>
      <c r="Y96" s="30" t="str">
        <f>_xlfn.IFNA(INDEX($B$42:$B$97,MATCH((D96-($B$13+$B$18)), $D$42:$D$97,1),1)&amp;"_Floor","")</f>
        <v>Story26_Floor</v>
      </c>
      <c r="Z96" s="30">
        <f t="shared" si="9"/>
        <v>1</v>
      </c>
    </row>
    <row r="97" spans="1:26" x14ac:dyDescent="0.2">
      <c r="A97" s="49"/>
      <c r="B97" s="29" t="str">
        <f t="shared" si="12"/>
        <v>Day_440</v>
      </c>
      <c r="C97" s="29">
        <v>56</v>
      </c>
      <c r="D97" s="34">
        <f t="shared" si="11"/>
        <v>440</v>
      </c>
      <c r="E97" s="30" t="s">
        <v>126</v>
      </c>
      <c r="F97" s="30"/>
      <c r="G97" s="30" t="str">
        <f t="shared" si="1"/>
        <v/>
      </c>
      <c r="H97" s="30" t="s">
        <v>126</v>
      </c>
      <c r="I97" s="30"/>
      <c r="J97" s="30" t="str">
        <f t="shared" si="2"/>
        <v/>
      </c>
      <c r="K97" s="30" t="s">
        <v>126</v>
      </c>
      <c r="L97" s="30"/>
      <c r="M97" s="30" t="str">
        <f t="shared" si="3"/>
        <v/>
      </c>
      <c r="N97" s="30" t="s">
        <v>126</v>
      </c>
      <c r="O97" s="30"/>
      <c r="P97" s="30" t="str">
        <f t="shared" si="4"/>
        <v/>
      </c>
      <c r="Q97" s="30" t="s">
        <v>148</v>
      </c>
      <c r="R97" s="30">
        <f t="shared" si="5"/>
        <v>1</v>
      </c>
      <c r="S97" s="30"/>
      <c r="T97" s="30" t="str">
        <f t="shared" si="6"/>
        <v/>
      </c>
      <c r="U97" s="30"/>
      <c r="V97" s="30" t="str">
        <f t="shared" si="7"/>
        <v/>
      </c>
      <c r="W97" s="30" t="str">
        <f>_xlfn.IFNA(INDEX($B$42:$B$97,MATCH((D97-($B$13+$B$18)), $D$42:$D$97,1),1)&amp;"_Floor","")</f>
        <v>Story27_Floor</v>
      </c>
      <c r="X97" s="30">
        <f t="shared" si="8"/>
        <v>1</v>
      </c>
      <c r="Y97" s="30" t="str">
        <f>_xlfn.IFNA(INDEX($B$42:$B$97,MATCH((D97-($B$13+$B$18)), $D$42:$D$97,1),1)&amp;"_Floor","")</f>
        <v>Story27_Floor</v>
      </c>
      <c r="Z97" s="30">
        <f t="shared" si="9"/>
        <v>1</v>
      </c>
    </row>
    <row r="98" spans="1:26" x14ac:dyDescent="0.2">
      <c r="A98" s="49"/>
      <c r="B98" s="29" t="str">
        <f t="shared" si="12"/>
        <v>Day_448</v>
      </c>
      <c r="C98" s="29">
        <v>57</v>
      </c>
      <c r="D98" s="34">
        <f t="shared" ref="D98:D105" si="13">D97+$B$11</f>
        <v>448</v>
      </c>
      <c r="E98" s="30" t="s">
        <v>126</v>
      </c>
      <c r="F98" s="30"/>
      <c r="G98" s="30" t="str">
        <f t="shared" si="1"/>
        <v/>
      </c>
      <c r="H98" s="30" t="s">
        <v>126</v>
      </c>
      <c r="I98" s="30"/>
      <c r="J98" s="30" t="str">
        <f t="shared" si="2"/>
        <v/>
      </c>
      <c r="K98" s="30" t="s">
        <v>126</v>
      </c>
      <c r="L98" s="30"/>
      <c r="M98" s="30" t="str">
        <f t="shared" si="3"/>
        <v/>
      </c>
      <c r="N98" s="30" t="s">
        <v>126</v>
      </c>
      <c r="O98" s="30"/>
      <c r="P98" s="30" t="str">
        <f t="shared" si="4"/>
        <v/>
      </c>
      <c r="Q98" s="30" t="s">
        <v>148</v>
      </c>
      <c r="R98" s="30">
        <f t="shared" si="5"/>
        <v>1</v>
      </c>
      <c r="S98" s="30"/>
      <c r="T98" s="30" t="str">
        <f t="shared" si="6"/>
        <v/>
      </c>
      <c r="U98" s="30"/>
      <c r="V98" s="30" t="str">
        <f t="shared" si="7"/>
        <v/>
      </c>
      <c r="W98" s="30" t="str">
        <f>_xlfn.IFNA(INDEX($B$42:$B$97,MATCH((D98-($B$13+$B$18)), $D$42:$D$97,1),1)&amp;"_Floor","")</f>
        <v>Story28_Floor</v>
      </c>
      <c r="X98" s="30">
        <f t="shared" si="8"/>
        <v>1</v>
      </c>
      <c r="Y98" s="30" t="str">
        <f>_xlfn.IFNA(INDEX($B$42:$B$97,MATCH((D98-($B$13+$B$18)), $D$42:$D$97,1),1)&amp;"_Floor","")</f>
        <v>Story28_Floor</v>
      </c>
      <c r="Z98" s="30">
        <f t="shared" si="9"/>
        <v>1</v>
      </c>
    </row>
    <row r="99" spans="1:26" x14ac:dyDescent="0.2">
      <c r="A99" s="49"/>
      <c r="B99" s="29" t="str">
        <f t="shared" si="12"/>
        <v>Day_456</v>
      </c>
      <c r="C99" s="29">
        <v>58</v>
      </c>
      <c r="D99" s="34">
        <f t="shared" si="13"/>
        <v>456</v>
      </c>
      <c r="E99" s="30" t="s">
        <v>126</v>
      </c>
      <c r="F99" s="30"/>
      <c r="G99" s="30" t="str">
        <f t="shared" si="1"/>
        <v/>
      </c>
      <c r="H99" s="30" t="s">
        <v>126</v>
      </c>
      <c r="I99" s="30"/>
      <c r="J99" s="30" t="str">
        <f t="shared" si="2"/>
        <v/>
      </c>
      <c r="K99" s="30" t="s">
        <v>126</v>
      </c>
      <c r="L99" s="30"/>
      <c r="M99" s="30" t="str">
        <f t="shared" si="3"/>
        <v/>
      </c>
      <c r="N99" s="30" t="s">
        <v>126</v>
      </c>
      <c r="O99" s="30"/>
      <c r="P99" s="30" t="str">
        <f t="shared" si="4"/>
        <v/>
      </c>
      <c r="Q99" s="30" t="s">
        <v>148</v>
      </c>
      <c r="R99" s="30">
        <f t="shared" si="5"/>
        <v>1</v>
      </c>
      <c r="S99" s="30"/>
      <c r="T99" s="30" t="str">
        <f t="shared" si="6"/>
        <v/>
      </c>
      <c r="U99" s="30"/>
      <c r="V99" s="30" t="str">
        <f t="shared" si="7"/>
        <v/>
      </c>
      <c r="W99" s="30" t="str">
        <f>_xlfn.IFNA(INDEX($B$42:$B$97,MATCH((D99-($B$13+$B$18)), $D$42:$D$97,1),1)&amp;"_Floor","")</f>
        <v>Story29_Floor</v>
      </c>
      <c r="X99" s="30">
        <f t="shared" si="8"/>
        <v>1</v>
      </c>
      <c r="Y99" s="30" t="str">
        <f>_xlfn.IFNA(INDEX($B$42:$B$97,MATCH((D99-($B$13+$B$18)), $D$42:$D$97,1),1)&amp;"_Floor","")</f>
        <v>Story29_Floor</v>
      </c>
      <c r="Z99" s="30">
        <f t="shared" si="9"/>
        <v>1</v>
      </c>
    </row>
    <row r="100" spans="1:26" x14ac:dyDescent="0.2">
      <c r="A100" s="49"/>
      <c r="B100" s="29" t="str">
        <f t="shared" si="12"/>
        <v>Day_464</v>
      </c>
      <c r="C100" s="29">
        <v>59</v>
      </c>
      <c r="D100" s="34">
        <f t="shared" si="13"/>
        <v>464</v>
      </c>
      <c r="E100" s="30" t="s">
        <v>126</v>
      </c>
      <c r="F100" s="30"/>
      <c r="G100" s="30" t="str">
        <f t="shared" si="1"/>
        <v/>
      </c>
      <c r="H100" s="30" t="s">
        <v>126</v>
      </c>
      <c r="I100" s="30"/>
      <c r="J100" s="30" t="str">
        <f t="shared" si="2"/>
        <v/>
      </c>
      <c r="K100" s="30" t="s">
        <v>126</v>
      </c>
      <c r="L100" s="30"/>
      <c r="M100" s="30" t="str">
        <f t="shared" si="3"/>
        <v/>
      </c>
      <c r="N100" s="30" t="s">
        <v>126</v>
      </c>
      <c r="O100" s="30"/>
      <c r="P100" s="30" t="str">
        <f t="shared" si="4"/>
        <v/>
      </c>
      <c r="Q100" s="30" t="s">
        <v>148</v>
      </c>
      <c r="R100" s="30">
        <f t="shared" si="5"/>
        <v>1</v>
      </c>
      <c r="S100" s="30"/>
      <c r="T100" s="30" t="str">
        <f t="shared" si="6"/>
        <v/>
      </c>
      <c r="U100" s="30"/>
      <c r="V100" s="30" t="str">
        <f t="shared" si="7"/>
        <v/>
      </c>
      <c r="W100" s="30" t="str">
        <f>_xlfn.IFNA(INDEX($B$42:$B$97,MATCH((D100-($B$13+$B$18)), $D$42:$D$97,1),1)&amp;"_Floor","")</f>
        <v>Story30_Floor</v>
      </c>
      <c r="X100" s="30">
        <f t="shared" si="8"/>
        <v>1</v>
      </c>
      <c r="Y100" s="30" t="str">
        <f>_xlfn.IFNA(INDEX($B$42:$B$97,MATCH((D100-($B$13+$B$18)), $D$42:$D$97,1),1)&amp;"_Floor","")</f>
        <v>Story30_Floor</v>
      </c>
      <c r="Z100" s="30">
        <f t="shared" si="9"/>
        <v>1</v>
      </c>
    </row>
    <row r="101" spans="1:26" x14ac:dyDescent="0.2">
      <c r="A101" s="49"/>
      <c r="B101" s="29" t="str">
        <f t="shared" si="12"/>
        <v>Day_472</v>
      </c>
      <c r="C101" s="29">
        <v>60</v>
      </c>
      <c r="D101" s="34">
        <f t="shared" si="13"/>
        <v>472</v>
      </c>
      <c r="E101" s="30" t="s">
        <v>126</v>
      </c>
      <c r="F101" s="30"/>
      <c r="G101" s="30" t="str">
        <f t="shared" si="1"/>
        <v/>
      </c>
      <c r="H101" s="30" t="s">
        <v>126</v>
      </c>
      <c r="I101" s="30"/>
      <c r="J101" s="30" t="str">
        <f t="shared" si="2"/>
        <v/>
      </c>
      <c r="K101" s="30" t="s">
        <v>126</v>
      </c>
      <c r="L101" s="30"/>
      <c r="M101" s="30" t="str">
        <f t="shared" si="3"/>
        <v/>
      </c>
      <c r="N101" s="30" t="s">
        <v>126</v>
      </c>
      <c r="O101" s="30"/>
      <c r="P101" s="30" t="str">
        <f t="shared" si="4"/>
        <v/>
      </c>
      <c r="Q101" s="30" t="s">
        <v>148</v>
      </c>
      <c r="R101" s="30">
        <f t="shared" si="5"/>
        <v>1</v>
      </c>
      <c r="S101" s="30"/>
      <c r="T101" s="30" t="str">
        <f t="shared" si="6"/>
        <v/>
      </c>
      <c r="U101" s="30"/>
      <c r="V101" s="30" t="str">
        <f t="shared" si="7"/>
        <v/>
      </c>
      <c r="W101" s="30" t="str">
        <f>_xlfn.IFNA(INDEX($B$42:$B$97,MATCH((D101-($B$13+$B$18)), $D$42:$D$97,1),1)&amp;"_Floor","")</f>
        <v>Story31_Floor</v>
      </c>
      <c r="X101" s="30">
        <f t="shared" si="8"/>
        <v>1</v>
      </c>
      <c r="Y101" s="30" t="str">
        <f>_xlfn.IFNA(INDEX($B$42:$B$97,MATCH((D101-($B$13+$B$18)), $D$42:$D$97,1),1)&amp;"_Floor","")</f>
        <v>Story31_Floor</v>
      </c>
      <c r="Z101" s="30">
        <f t="shared" si="9"/>
        <v>1</v>
      </c>
    </row>
    <row r="102" spans="1:26" x14ac:dyDescent="0.2">
      <c r="A102" s="49"/>
      <c r="B102" s="29" t="str">
        <f t="shared" si="12"/>
        <v>Day_480</v>
      </c>
      <c r="C102" s="29">
        <v>61</v>
      </c>
      <c r="D102" s="34">
        <f t="shared" si="13"/>
        <v>480</v>
      </c>
      <c r="E102" s="30" t="s">
        <v>126</v>
      </c>
      <c r="F102" s="30"/>
      <c r="G102" s="30" t="str">
        <f t="shared" si="1"/>
        <v/>
      </c>
      <c r="H102" s="30" t="s">
        <v>126</v>
      </c>
      <c r="I102" s="30"/>
      <c r="J102" s="30" t="str">
        <f t="shared" si="2"/>
        <v/>
      </c>
      <c r="K102" s="30" t="s">
        <v>126</v>
      </c>
      <c r="L102" s="30"/>
      <c r="M102" s="30" t="str">
        <f t="shared" si="3"/>
        <v/>
      </c>
      <c r="N102" s="30" t="s">
        <v>126</v>
      </c>
      <c r="O102" s="30"/>
      <c r="P102" s="30" t="str">
        <f t="shared" si="4"/>
        <v/>
      </c>
      <c r="Q102" s="30" t="s">
        <v>148</v>
      </c>
      <c r="R102" s="30">
        <f t="shared" si="5"/>
        <v>1</v>
      </c>
      <c r="S102" s="30"/>
      <c r="T102" s="30" t="str">
        <f t="shared" si="6"/>
        <v/>
      </c>
      <c r="U102" s="30"/>
      <c r="V102" s="30" t="str">
        <f t="shared" si="7"/>
        <v/>
      </c>
      <c r="W102" s="30" t="str">
        <f>_xlfn.IFNA(INDEX($B$42:$B$97,MATCH((D102-($B$13+$B$18)), $D$42:$D$97,1),1)&amp;"_Floor","")</f>
        <v>Story32_Floor</v>
      </c>
      <c r="X102" s="30">
        <f t="shared" si="8"/>
        <v>1</v>
      </c>
      <c r="Y102" s="30" t="str">
        <f>_xlfn.IFNA(INDEX($B$42:$B$97,MATCH((D102-($B$13+$B$18)), $D$42:$D$97,1),1)&amp;"_Floor","")</f>
        <v>Story32_Floor</v>
      </c>
      <c r="Z102" s="30">
        <f t="shared" si="9"/>
        <v>1</v>
      </c>
    </row>
    <row r="103" spans="1:26" x14ac:dyDescent="0.2">
      <c r="A103" s="49"/>
      <c r="B103" s="29" t="str">
        <f t="shared" si="12"/>
        <v>Day_488</v>
      </c>
      <c r="C103" s="29">
        <v>62</v>
      </c>
      <c r="D103" s="34">
        <f t="shared" si="13"/>
        <v>488</v>
      </c>
      <c r="E103" s="30" t="s">
        <v>126</v>
      </c>
      <c r="F103" s="30"/>
      <c r="G103" s="30" t="str">
        <f t="shared" si="1"/>
        <v/>
      </c>
      <c r="H103" s="30" t="s">
        <v>126</v>
      </c>
      <c r="I103" s="30"/>
      <c r="J103" s="30" t="str">
        <f t="shared" si="2"/>
        <v/>
      </c>
      <c r="K103" s="30" t="s">
        <v>126</v>
      </c>
      <c r="L103" s="30"/>
      <c r="M103" s="30" t="str">
        <f t="shared" si="3"/>
        <v/>
      </c>
      <c r="N103" s="30" t="s">
        <v>126</v>
      </c>
      <c r="O103" s="30"/>
      <c r="P103" s="30" t="str">
        <f t="shared" si="4"/>
        <v/>
      </c>
      <c r="Q103" s="30" t="s">
        <v>148</v>
      </c>
      <c r="R103" s="30">
        <f t="shared" si="5"/>
        <v>1</v>
      </c>
      <c r="S103" s="30"/>
      <c r="T103" s="30" t="str">
        <f t="shared" si="6"/>
        <v/>
      </c>
      <c r="U103" s="30"/>
      <c r="V103" s="30" t="str">
        <f t="shared" si="7"/>
        <v/>
      </c>
      <c r="W103" s="30" t="str">
        <f>_xlfn.IFNA(INDEX($B$42:$B$97,MATCH((D103-($B$13+$B$18)), $D$42:$D$97,1),1)&amp;"_Floor","")</f>
        <v>Story33_Floor</v>
      </c>
      <c r="X103" s="30">
        <f t="shared" si="8"/>
        <v>1</v>
      </c>
      <c r="Y103" s="30" t="str">
        <f>_xlfn.IFNA(INDEX($B$42:$B$97,MATCH((D103-($B$13+$B$18)), $D$42:$D$97,1),1)&amp;"_Floor","")</f>
        <v>Story33_Floor</v>
      </c>
      <c r="Z103" s="30">
        <f t="shared" si="9"/>
        <v>1</v>
      </c>
    </row>
    <row r="104" spans="1:26" x14ac:dyDescent="0.2">
      <c r="A104" s="49"/>
      <c r="B104" s="29" t="str">
        <f t="shared" si="12"/>
        <v>Day_496</v>
      </c>
      <c r="C104" s="29">
        <v>63</v>
      </c>
      <c r="D104" s="34">
        <f t="shared" si="13"/>
        <v>496</v>
      </c>
      <c r="E104" s="30" t="s">
        <v>126</v>
      </c>
      <c r="F104" s="30"/>
      <c r="G104" s="30" t="str">
        <f t="shared" si="1"/>
        <v/>
      </c>
      <c r="H104" s="30" t="s">
        <v>126</v>
      </c>
      <c r="I104" s="30"/>
      <c r="J104" s="30" t="str">
        <f t="shared" si="2"/>
        <v/>
      </c>
      <c r="K104" s="30" t="s">
        <v>126</v>
      </c>
      <c r="L104" s="30"/>
      <c r="M104" s="30" t="str">
        <f t="shared" si="3"/>
        <v/>
      </c>
      <c r="N104" s="30" t="s">
        <v>126</v>
      </c>
      <c r="O104" s="30"/>
      <c r="P104" s="30" t="str">
        <f t="shared" si="4"/>
        <v/>
      </c>
      <c r="Q104" s="30" t="s">
        <v>148</v>
      </c>
      <c r="R104" s="30">
        <f t="shared" si="5"/>
        <v>1</v>
      </c>
      <c r="S104" s="30"/>
      <c r="T104" s="30" t="str">
        <f t="shared" si="6"/>
        <v/>
      </c>
      <c r="U104" s="30"/>
      <c r="V104" s="30" t="str">
        <f t="shared" si="7"/>
        <v/>
      </c>
      <c r="W104" s="30" t="str">
        <f>_xlfn.IFNA(INDEX($B$42:$B$97,MATCH((D104-($B$13+$B$18)), $D$42:$D$97,1),1)&amp;"_Floor","")</f>
        <v>Story34 - Sky Terrace_Floor</v>
      </c>
      <c r="X104" s="30">
        <f t="shared" si="8"/>
        <v>1</v>
      </c>
      <c r="Y104" s="30" t="str">
        <f>_xlfn.IFNA(INDEX($B$42:$B$97,MATCH((D104-($B$13+$B$18)), $D$42:$D$97,1),1)&amp;"_Floor","")</f>
        <v>Story34 - Sky Terrace_Floor</v>
      </c>
      <c r="Z104" s="30">
        <f t="shared" si="9"/>
        <v>1</v>
      </c>
    </row>
    <row r="105" spans="1:26" x14ac:dyDescent="0.2">
      <c r="A105" s="49"/>
      <c r="B105" s="29" t="str">
        <f t="shared" si="12"/>
        <v>Day_504</v>
      </c>
      <c r="C105" s="29">
        <v>64</v>
      </c>
      <c r="D105" s="34">
        <f t="shared" si="13"/>
        <v>504</v>
      </c>
      <c r="E105" s="30" t="s">
        <v>126</v>
      </c>
      <c r="F105" s="30"/>
      <c r="G105" s="30" t="str">
        <f t="shared" si="1"/>
        <v/>
      </c>
      <c r="H105" s="30" t="s">
        <v>126</v>
      </c>
      <c r="I105" s="30"/>
      <c r="J105" s="30" t="str">
        <f t="shared" si="2"/>
        <v/>
      </c>
      <c r="K105" s="30" t="s">
        <v>126</v>
      </c>
      <c r="L105" s="30"/>
      <c r="M105" s="30" t="str">
        <f t="shared" si="3"/>
        <v/>
      </c>
      <c r="N105" s="30" t="s">
        <v>126</v>
      </c>
      <c r="O105" s="30"/>
      <c r="P105" s="30" t="str">
        <f t="shared" si="4"/>
        <v/>
      </c>
      <c r="Q105" s="30" t="s">
        <v>148</v>
      </c>
      <c r="R105" s="30">
        <f t="shared" si="5"/>
        <v>1</v>
      </c>
      <c r="S105" s="30"/>
      <c r="T105" s="30" t="str">
        <f t="shared" si="6"/>
        <v/>
      </c>
      <c r="U105" s="30"/>
      <c r="V105" s="30" t="str">
        <f t="shared" si="7"/>
        <v/>
      </c>
      <c r="W105" s="30" t="str">
        <f>_xlfn.IFNA(INDEX($B$42:$B$97,MATCH((D105-($B$13+$B$18)), $D$42:$D$97,1),1)&amp;"_Floor","")</f>
        <v>Story35 - Roof_Floor</v>
      </c>
      <c r="X105" s="30">
        <f t="shared" si="8"/>
        <v>1</v>
      </c>
      <c r="Y105" s="30" t="str">
        <f>_xlfn.IFNA(INDEX($B$42:$B$97,MATCH((D105-($B$13+$B$18)), $D$42:$D$97,1),1)&amp;"_Floor","")</f>
        <v>Story35 - Roof_Floor</v>
      </c>
      <c r="Z105" s="30">
        <f t="shared" si="9"/>
        <v>1</v>
      </c>
    </row>
    <row r="106" spans="1:26" x14ac:dyDescent="0.2">
      <c r="A106" s="49"/>
      <c r="B106" s="31"/>
      <c r="C106" s="29"/>
      <c r="D106" s="34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</row>
    <row r="107" spans="1:26" x14ac:dyDescent="0.2">
      <c r="A107" s="49"/>
      <c r="B107" s="31"/>
      <c r="C107" s="29"/>
      <c r="D107" s="34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</row>
    <row r="108" spans="1:26" x14ac:dyDescent="0.2">
      <c r="A108" s="49"/>
      <c r="B108" s="31"/>
      <c r="C108" s="29"/>
      <c r="D108" s="34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</row>
    <row r="109" spans="1:26" x14ac:dyDescent="0.2">
      <c r="A109" s="49"/>
      <c r="B109" s="31"/>
      <c r="C109" s="29"/>
      <c r="D109" s="34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</row>
    <row r="110" spans="1:26" x14ac:dyDescent="0.2">
      <c r="A110" s="49"/>
      <c r="B110" s="31"/>
      <c r="C110" s="29"/>
      <c r="D110" s="34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</row>
    <row r="111" spans="1:26" x14ac:dyDescent="0.2">
      <c r="A111" s="49"/>
      <c r="B111" s="18"/>
      <c r="C111" s="17"/>
      <c r="D111" s="18"/>
      <c r="E111" s="20"/>
      <c r="F111" s="20"/>
      <c r="G111" s="20"/>
      <c r="H111" s="20"/>
      <c r="I111" s="20"/>
      <c r="J111" s="30"/>
      <c r="K111" s="20"/>
      <c r="L111" s="19"/>
      <c r="M111" s="30"/>
      <c r="N111" s="19"/>
      <c r="O111" s="19"/>
      <c r="P111" s="30"/>
      <c r="Q111" s="19"/>
      <c r="R111" s="30"/>
      <c r="S111" s="20"/>
      <c r="T111" s="30"/>
      <c r="U111" s="20"/>
      <c r="V111" s="30"/>
      <c r="W111" s="20"/>
      <c r="X111" s="30"/>
      <c r="Y111" s="30"/>
      <c r="Z111" s="30"/>
    </row>
    <row r="112" spans="1:26" x14ac:dyDescent="0.2">
      <c r="A112" s="49"/>
      <c r="B112" s="18"/>
      <c r="C112" s="17"/>
      <c r="D112" s="18"/>
      <c r="E112" s="20"/>
      <c r="F112" s="20"/>
      <c r="G112" s="20"/>
      <c r="H112" s="20"/>
      <c r="I112" s="20"/>
      <c r="J112" s="30"/>
      <c r="K112" s="19"/>
      <c r="L112" s="19"/>
      <c r="M112" s="30"/>
      <c r="N112" s="19"/>
      <c r="O112" s="19"/>
      <c r="P112" s="30"/>
      <c r="Q112" s="20"/>
      <c r="R112" s="30"/>
      <c r="S112" s="20"/>
      <c r="T112" s="30"/>
      <c r="U112" s="20"/>
      <c r="V112" s="30"/>
      <c r="W112" s="20"/>
      <c r="X112" s="30"/>
      <c r="Y112" s="30"/>
      <c r="Z112" s="30"/>
    </row>
    <row r="113" spans="1:26" x14ac:dyDescent="0.2">
      <c r="A113" s="49"/>
      <c r="B113" s="18"/>
      <c r="C113" s="17"/>
      <c r="D113" s="18"/>
      <c r="E113" s="20"/>
      <c r="F113" s="20"/>
      <c r="G113" s="20"/>
      <c r="H113" s="20"/>
      <c r="I113" s="20"/>
      <c r="J113" s="30"/>
      <c r="K113" s="19"/>
      <c r="L113" s="19"/>
      <c r="M113" s="30"/>
      <c r="N113" s="19"/>
      <c r="O113" s="19"/>
      <c r="P113" s="30"/>
      <c r="Q113" s="20"/>
      <c r="R113" s="30"/>
      <c r="S113" s="20"/>
      <c r="T113" s="30"/>
      <c r="U113" s="20"/>
      <c r="V113" s="30"/>
      <c r="W113" s="20"/>
      <c r="X113" s="30"/>
      <c r="Y113" s="30"/>
      <c r="Z113" s="30"/>
    </row>
    <row r="114" spans="1:26" x14ac:dyDescent="0.2">
      <c r="A114" s="49"/>
      <c r="B114" s="18"/>
      <c r="C114" s="17"/>
      <c r="D114" s="18"/>
      <c r="E114" s="20"/>
      <c r="F114" s="20"/>
      <c r="G114" s="20"/>
      <c r="H114" s="20"/>
      <c r="I114" s="20"/>
      <c r="J114" s="30"/>
      <c r="K114" s="19"/>
      <c r="L114" s="19"/>
      <c r="M114" s="30"/>
      <c r="N114" s="19"/>
      <c r="O114" s="19"/>
      <c r="P114" s="30"/>
      <c r="Q114" s="20"/>
      <c r="R114" s="30"/>
      <c r="S114" s="20"/>
      <c r="T114" s="30"/>
      <c r="U114" s="20"/>
      <c r="V114" s="30"/>
      <c r="W114" s="20"/>
      <c r="X114" s="30"/>
      <c r="Y114" s="30"/>
      <c r="Z114" s="30"/>
    </row>
  </sheetData>
  <mergeCells count="8">
    <mergeCell ref="N38:P38"/>
    <mergeCell ref="E37:P37"/>
    <mergeCell ref="Q37:Z38"/>
    <mergeCell ref="A39:A40"/>
    <mergeCell ref="B39:B40"/>
    <mergeCell ref="E38:G38"/>
    <mergeCell ref="H38:J38"/>
    <mergeCell ref="K38:M38"/>
  </mergeCells>
  <phoneticPr fontId="8" type="noConversion"/>
  <dataValidations count="1">
    <dataValidation type="list" allowBlank="1" showInputMessage="1" showErrorMessage="1" sqref="B9" xr:uid="{8933B19F-63C8-4B27-BCC2-67DDF09EBB1D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etchCall">
                <anchor moveWithCells="1" sizeWithCells="1">
                  <from>
                    <xdr:col>7</xdr:col>
                    <xdr:colOff>95250</xdr:colOff>
                    <xdr:row>0</xdr:row>
                    <xdr:rowOff>152400</xdr:rowOff>
                  </from>
                  <to>
                    <xdr:col>10</xdr:col>
                    <xdr:colOff>390525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ssignCall">
                <anchor moveWithCells="1" sizeWithCells="1">
                  <from>
                    <xdr:col>10</xdr:col>
                    <xdr:colOff>609600</xdr:colOff>
                    <xdr:row>0</xdr:row>
                    <xdr:rowOff>152400</xdr:rowOff>
                  </from>
                  <to>
                    <xdr:col>14</xdr:col>
                    <xdr:colOff>285750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51DCB0-169A-4EA8-B7D1-0BB35530291A}">
          <x14:formula1>
            <xm:f>Lists!$B$3:$B$10</xm:f>
          </x14:formula1>
          <xm:sqref>D115:D1048576 E42:E114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96164-234A-49B5-B831-B403E6F3E184}">
  <sheetPr codeName="Sheet1"/>
  <dimension ref="B3:B11"/>
  <sheetViews>
    <sheetView workbookViewId="0">
      <selection activeCell="B11" sqref="B11"/>
    </sheetView>
  </sheetViews>
  <sheetFormatPr defaultRowHeight="12.75" x14ac:dyDescent="0.2"/>
  <sheetData>
    <row r="3" spans="2:2" x14ac:dyDescent="0.2">
      <c r="B3" t="s">
        <v>126</v>
      </c>
    </row>
    <row r="4" spans="2:2" x14ac:dyDescent="0.2">
      <c r="B4" t="s">
        <v>20</v>
      </c>
    </row>
    <row r="5" spans="2:2" x14ac:dyDescent="0.2">
      <c r="B5" t="s">
        <v>127</v>
      </c>
    </row>
    <row r="6" spans="2:2" x14ac:dyDescent="0.2">
      <c r="B6" t="s">
        <v>128</v>
      </c>
    </row>
    <row r="7" spans="2:2" x14ac:dyDescent="0.2">
      <c r="B7" t="s">
        <v>129</v>
      </c>
    </row>
    <row r="8" spans="2:2" x14ac:dyDescent="0.2">
      <c r="B8" t="s">
        <v>130</v>
      </c>
    </row>
    <row r="9" spans="2:2" x14ac:dyDescent="0.2">
      <c r="B9" t="s">
        <v>131</v>
      </c>
    </row>
    <row r="10" spans="2:2" x14ac:dyDescent="0.2">
      <c r="B10" t="s">
        <v>132</v>
      </c>
    </row>
    <row r="11" spans="2:2" x14ac:dyDescent="0.2">
      <c r="B11" s="42" t="s">
        <v>133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B46D-10C3-468D-86F0-859C886F527B}">
  <sheetPr codeName="Sheet13">
    <tabColor theme="8"/>
  </sheetPr>
  <dimension ref="A1:B17"/>
  <sheetViews>
    <sheetView workbookViewId="0">
      <selection activeCell="D6" sqref="D6"/>
    </sheetView>
  </sheetViews>
  <sheetFormatPr defaultColWidth="10.140625" defaultRowHeight="15.75" x14ac:dyDescent="0.2"/>
  <cols>
    <col min="1" max="1" width="16.85546875" style="4" customWidth="1"/>
    <col min="2" max="2" width="10.5703125" style="4" customWidth="1"/>
    <col min="3" max="16384" width="10.140625" style="4"/>
  </cols>
  <sheetData>
    <row r="1" spans="1:2" x14ac:dyDescent="0.2">
      <c r="A1" s="4" t="s">
        <v>4</v>
      </c>
      <c r="B1" s="5" t="s">
        <v>120</v>
      </c>
    </row>
    <row r="2" spans="1:2" x14ac:dyDescent="0.2">
      <c r="A2" s="4" t="s">
        <v>5</v>
      </c>
    </row>
    <row r="3" spans="1:2" x14ac:dyDescent="0.2">
      <c r="A3" s="4" t="s">
        <v>6</v>
      </c>
    </row>
    <row r="4" spans="1:2" x14ac:dyDescent="0.2">
      <c r="A4" s="4" t="s">
        <v>7</v>
      </c>
    </row>
    <row r="5" spans="1:2" x14ac:dyDescent="0.2">
      <c r="A5" s="4" t="s">
        <v>8</v>
      </c>
    </row>
    <row r="6" spans="1:2" x14ac:dyDescent="0.2">
      <c r="A6" s="4" t="s">
        <v>9</v>
      </c>
    </row>
    <row r="7" spans="1:2" x14ac:dyDescent="0.2">
      <c r="A7" s="4" t="s">
        <v>10</v>
      </c>
      <c r="B7" s="4" t="b">
        <v>0</v>
      </c>
    </row>
    <row r="8" spans="1:2" x14ac:dyDescent="0.2">
      <c r="A8" s="4" t="s">
        <v>11</v>
      </c>
      <c r="B8" s="4" t="b">
        <v>0</v>
      </c>
    </row>
    <row r="9" spans="1:2" x14ac:dyDescent="0.2">
      <c r="A9" s="4" t="s">
        <v>12</v>
      </c>
      <c r="B9" s="5" t="b">
        <v>1</v>
      </c>
    </row>
    <row r="13" spans="1:2" x14ac:dyDescent="0.2">
      <c r="A13" s="6" t="s">
        <v>13</v>
      </c>
    </row>
    <row r="14" spans="1:2" x14ac:dyDescent="0.2">
      <c r="A14" s="4" t="s">
        <v>14</v>
      </c>
    </row>
    <row r="15" spans="1:2" x14ac:dyDescent="0.2">
      <c r="A15" s="4" t="s">
        <v>15</v>
      </c>
    </row>
    <row r="16" spans="1:2" x14ac:dyDescent="0.2">
      <c r="A16" s="4" t="s">
        <v>16</v>
      </c>
    </row>
    <row r="17" spans="1:1" x14ac:dyDescent="0.2">
      <c r="A17" s="4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Lists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TESCH</dc:creator>
  <cp:lastModifiedBy>Samuel Cubis</cp:lastModifiedBy>
  <dcterms:created xsi:type="dcterms:W3CDTF">2022-12-07T10:24:03Z</dcterms:created>
  <dcterms:modified xsi:type="dcterms:W3CDTF">2023-02-08T07:18:52Z</dcterms:modified>
</cp:coreProperties>
</file>